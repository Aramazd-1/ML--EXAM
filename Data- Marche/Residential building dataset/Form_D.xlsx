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https://polimi365-my.sharepoint.com/personal/10459264_polimi_it/Documents/Dottorato/MARCHE/paper_danno_edifici_Marche/residenziali/per_pubblicazione_residenziale/Residential building dataset/"/>
    </mc:Choice>
  </mc:AlternateContent>
  <xr:revisionPtr revIDLastSave="5778" documentId="13_ncr:1_{DE10AEF3-298A-420E-8BE1-2C1ACCABDFE8}" xr6:coauthVersionLast="47" xr6:coauthVersionMax="47" xr10:uidLastSave="{6A8BAA2A-EB22-4A14-BE66-D0C5D17718F9}"/>
  <bookViews>
    <workbookView xWindow="-108" yWindow="-108" windowWidth="23256" windowHeight="12456" tabRatio="647" xr2:uid="{00000000-000D-0000-FFFF-FFFF00000000}"/>
  </bookViews>
  <sheets>
    <sheet name="D_Building" sheetId="26" r:id="rId1"/>
    <sheet name="D_Floors" sheetId="16" r:id="rId2"/>
  </sheets>
  <definedNames>
    <definedName name="_xlnm._FilterDatabase" localSheetId="0" hidden="1">D_Building!$A$3:$DW$48</definedName>
    <definedName name="_xlnm._FilterDatabase" localSheetId="1" hidden="1">D_Floors!$A$3:$BY$44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9" i="16" l="1"/>
  <c r="G18" i="16"/>
  <c r="G17" i="16"/>
  <c r="G16" i="16"/>
  <c r="G15" i="16"/>
  <c r="G14" i="16"/>
  <c r="G13" i="16"/>
  <c r="G12" i="16"/>
  <c r="G11" i="16"/>
  <c r="G10" i="16"/>
  <c r="G9" i="16"/>
  <c r="G8" i="16"/>
  <c r="G7" i="16"/>
  <c r="G6" i="16"/>
  <c r="G5" i="16"/>
  <c r="G4" i="16"/>
</calcChain>
</file>

<file path=xl/sharedStrings.xml><?xml version="1.0" encoding="utf-8"?>
<sst xmlns="http://schemas.openxmlformats.org/spreadsheetml/2006/main" count="3218" uniqueCount="310">
  <si>
    <t>Geographic coordinates</t>
  </si>
  <si>
    <t>Specify</t>
  </si>
  <si>
    <t>no</t>
  </si>
  <si>
    <t>Period of construction</t>
  </si>
  <si>
    <t>Building structure</t>
  </si>
  <si>
    <t>Surface</t>
  </si>
  <si>
    <t>Garage</t>
  </si>
  <si>
    <t>Other, specify</t>
  </si>
  <si>
    <t>Notes</t>
  </si>
  <si>
    <t>Level of maintenance</t>
  </si>
  <si>
    <t>Building elevation</t>
  </si>
  <si>
    <t>Other</t>
  </si>
  <si>
    <t>hg</t>
  </si>
  <si>
    <t>h1</t>
  </si>
  <si>
    <t>h2</t>
  </si>
  <si>
    <t>Duration</t>
  </si>
  <si>
    <t>Water depth outside the building</t>
  </si>
  <si>
    <t>hw</t>
  </si>
  <si>
    <t>Presence of sediments</t>
  </si>
  <si>
    <t>Presence</t>
  </si>
  <si>
    <t>Fine</t>
  </si>
  <si>
    <t>Coarse</t>
  </si>
  <si>
    <t>Garbage</t>
  </si>
  <si>
    <t>Presence of contaminants</t>
  </si>
  <si>
    <t>Type</t>
  </si>
  <si>
    <t>A1</t>
  </si>
  <si>
    <t>A2</t>
  </si>
  <si>
    <t>A3</t>
  </si>
  <si>
    <t>A4</t>
  </si>
  <si>
    <t>A5</t>
  </si>
  <si>
    <t>A7</t>
  </si>
  <si>
    <t>A8</t>
  </si>
  <si>
    <t>A9</t>
  </si>
  <si>
    <t>A11</t>
  </si>
  <si>
    <t>A15</t>
  </si>
  <si>
    <t>A16</t>
  </si>
  <si>
    <t>A23</t>
  </si>
  <si>
    <t>A26</t>
  </si>
  <si>
    <t>A27</t>
  </si>
  <si>
    <t>A29</t>
  </si>
  <si>
    <t>A35</t>
  </si>
  <si>
    <t>A37</t>
  </si>
  <si>
    <t>A42</t>
  </si>
  <si>
    <t>A43</t>
  </si>
  <si>
    <t>A44</t>
  </si>
  <si>
    <t>A45</t>
  </si>
  <si>
    <t>A51</t>
  </si>
  <si>
    <t>A62</t>
  </si>
  <si>
    <t>A70</t>
  </si>
  <si>
    <t>A71</t>
  </si>
  <si>
    <t>A77</t>
  </si>
  <si>
    <t>A80</t>
  </si>
  <si>
    <t>A82</t>
  </si>
  <si>
    <t>A83</t>
  </si>
  <si>
    <t>A84</t>
  </si>
  <si>
    <t>A86</t>
  </si>
  <si>
    <t>A87</t>
  </si>
  <si>
    <t>A90</t>
  </si>
  <si>
    <t>A91</t>
  </si>
  <si>
    <t>A93</t>
  </si>
  <si>
    <t>A94</t>
  </si>
  <si>
    <t>A95</t>
  </si>
  <si>
    <t>A96</t>
  </si>
  <si>
    <t>A107</t>
  </si>
  <si>
    <t>A108</t>
  </si>
  <si>
    <t>A109</t>
  </si>
  <si>
    <t>A111</t>
  </si>
  <si>
    <t>A116</t>
  </si>
  <si>
    <t>A120</t>
  </si>
  <si>
    <t>A123</t>
  </si>
  <si>
    <t>yes</t>
  </si>
  <si>
    <t>before 1945</t>
  </si>
  <si>
    <t>after 2007</t>
  </si>
  <si>
    <t>60 m^2</t>
  </si>
  <si>
    <t>50 m^2</t>
  </si>
  <si>
    <t>Form identifier</t>
  </si>
  <si>
    <t>-</t>
  </si>
  <si>
    <t>20 m^2</t>
  </si>
  <si>
    <t>∆Q</t>
  </si>
  <si>
    <t>Section 3: Description of the flood event</t>
  </si>
  <si>
    <t>Section 4: Description of the damage</t>
  </si>
  <si>
    <t>Nafta</t>
  </si>
  <si>
    <t>1991_2007</t>
  </si>
  <si>
    <t>1945_1991</t>
  </si>
  <si>
    <t>Latitude</t>
  </si>
  <si>
    <t>Longitude</t>
  </si>
  <si>
    <t/>
  </si>
  <si>
    <t>Width [m]</t>
  </si>
  <si>
    <t>Length [m]</t>
  </si>
  <si>
    <t>80 m^2</t>
  </si>
  <si>
    <t>Number of floors</t>
  </si>
  <si>
    <t xml:space="preserve">Vegetation/ wood         </t>
  </si>
  <si>
    <t>Chemical smell</t>
  </si>
  <si>
    <t>Suspected acidic substances</t>
  </si>
  <si>
    <t>30</t>
  </si>
  <si>
    <t>15000</t>
  </si>
  <si>
    <t>(3,50 x 11,0)m</t>
  </si>
  <si>
    <t>Days/person</t>
  </si>
  <si>
    <t>Suction pumps</t>
  </si>
  <si>
    <t>Power interruption/switching off</t>
  </si>
  <si>
    <t>Evacuation</t>
  </si>
  <si>
    <t>Motivation</t>
  </si>
  <si>
    <t>private</t>
  </si>
  <si>
    <t>Damage to furniture</t>
  </si>
  <si>
    <t>ID form A</t>
  </si>
  <si>
    <t>ID form D</t>
  </si>
  <si>
    <t>Maximum water depth</t>
  </si>
  <si>
    <t>Use</t>
  </si>
  <si>
    <t>Housing</t>
  </si>
  <si>
    <t>Storage</t>
  </si>
  <si>
    <t>Not in use</t>
  </si>
  <si>
    <t>Attic/ garret</t>
  </si>
  <si>
    <t>Plumbing system</t>
  </si>
  <si>
    <t>Electrical system</t>
  </si>
  <si>
    <t>Heating system</t>
  </si>
  <si>
    <t>Lift</t>
  </si>
  <si>
    <t>Technological system</t>
  </si>
  <si>
    <t>Damage to internal coating/plaster</t>
  </si>
  <si>
    <t>Damage to windows and doors</t>
  </si>
  <si>
    <t>Damage to pavement</t>
  </si>
  <si>
    <t>Damage to technological system</t>
  </si>
  <si>
    <t>Damage to vehicles</t>
  </si>
  <si>
    <t>Damage due to high velocity</t>
  </si>
  <si>
    <t>Damage to cars</t>
  </si>
  <si>
    <t>Damage to motorcycles</t>
  </si>
  <si>
    <t>Other damage</t>
  </si>
  <si>
    <t>Causes</t>
  </si>
  <si>
    <t>Lack of usability</t>
  </si>
  <si>
    <t>Clean-up costs</t>
  </si>
  <si>
    <t>Moving objects at upper floors</t>
  </si>
  <si>
    <t>Shields</t>
  </si>
  <si>
    <t>Amount</t>
  </si>
  <si>
    <t>D1</t>
  </si>
  <si>
    <t>D2</t>
  </si>
  <si>
    <t>D3</t>
  </si>
  <si>
    <t>D4</t>
  </si>
  <si>
    <t>D5</t>
  </si>
  <si>
    <t>D7</t>
  </si>
  <si>
    <t>D8</t>
  </si>
  <si>
    <t>D9</t>
  </si>
  <si>
    <t>D11</t>
  </si>
  <si>
    <t>D16</t>
  </si>
  <si>
    <t>D17</t>
  </si>
  <si>
    <t>D24</t>
  </si>
  <si>
    <t>D27</t>
  </si>
  <si>
    <t>D28</t>
  </si>
  <si>
    <t>D30</t>
  </si>
  <si>
    <t>D36</t>
  </si>
  <si>
    <t>D38</t>
  </si>
  <si>
    <t>D43</t>
  </si>
  <si>
    <t>D44</t>
  </si>
  <si>
    <t>D45</t>
  </si>
  <si>
    <t>D6</t>
  </si>
  <si>
    <t>D10</t>
  </si>
  <si>
    <t>D12</t>
  </si>
  <si>
    <t>D13</t>
  </si>
  <si>
    <t>D14</t>
  </si>
  <si>
    <t>D15</t>
  </si>
  <si>
    <t>D18</t>
  </si>
  <si>
    <t>D19</t>
  </si>
  <si>
    <t>D20</t>
  </si>
  <si>
    <t>D21</t>
  </si>
  <si>
    <t>D22</t>
  </si>
  <si>
    <t>D23</t>
  </si>
  <si>
    <t>D25</t>
  </si>
  <si>
    <t>D26</t>
  </si>
  <si>
    <t>D29</t>
  </si>
  <si>
    <t>D31</t>
  </si>
  <si>
    <t>D32</t>
  </si>
  <si>
    <t>D33</t>
  </si>
  <si>
    <t>D34</t>
  </si>
  <si>
    <t>D35</t>
  </si>
  <si>
    <t>D37</t>
  </si>
  <si>
    <t>D39</t>
  </si>
  <si>
    <t>D40</t>
  </si>
  <si>
    <t>D41</t>
  </si>
  <si>
    <t>D42</t>
  </si>
  <si>
    <t>See form A</t>
  </si>
  <si>
    <t>Basement (cellar) + ground floor (garage)</t>
  </si>
  <si>
    <t>25 m^2</t>
  </si>
  <si>
    <t>10 m^2</t>
  </si>
  <si>
    <t>Garage: 3.5 m x 2.5 m; storage: 3.5 m x 5 m</t>
  </si>
  <si>
    <t>6-7 m^2</t>
  </si>
  <si>
    <t>1990's</t>
  </si>
  <si>
    <t>renovation in the last 20 years</t>
  </si>
  <si>
    <t>Garage at the ground floor</t>
  </si>
  <si>
    <t xml:space="preserve">h1 not measured </t>
  </si>
  <si>
    <t>Not measured</t>
  </si>
  <si>
    <t>Courtyard level taken as reference point</t>
  </si>
  <si>
    <t>Not detectable, refer to the elevations of the main building.</t>
  </si>
  <si>
    <t>h1 = 2 m for both annexes; reference level = street level of Stradone Misa.</t>
  </si>
  <si>
    <t>h1&gt;0; reference level = street level of Via Adige</t>
  </si>
  <si>
    <t>Section 1: General information</t>
  </si>
  <si>
    <t>Damaged floors</t>
  </si>
  <si>
    <t>Openings at street level</t>
  </si>
  <si>
    <t>Cellar completely flooded</t>
  </si>
  <si>
    <t>Overtaken</t>
  </si>
  <si>
    <t>Taken away</t>
  </si>
  <si>
    <t>storage / garage</t>
  </si>
  <si>
    <t>stable and storage</t>
  </si>
  <si>
    <t>laundry room</t>
  </si>
  <si>
    <t>Front door</t>
  </si>
  <si>
    <t>Garage door</t>
  </si>
  <si>
    <t>All the doors were damaged</t>
  </si>
  <si>
    <t>Door restored</t>
  </si>
  <si>
    <t>Authomatic shutters</t>
  </si>
  <si>
    <t>Nothing worked for 1 hour</t>
  </si>
  <si>
    <t>Interuption of electric energy</t>
  </si>
  <si>
    <t>freezer</t>
  </si>
  <si>
    <t>fridge</t>
  </si>
  <si>
    <t>dryer</t>
  </si>
  <si>
    <t>fridge, washing machine</t>
  </si>
  <si>
    <t>washing machine</t>
  </si>
  <si>
    <t>1 car and 3 tractors to repair</t>
  </si>
  <si>
    <t>+ bicycles</t>
  </si>
  <si>
    <t>Clean up costs</t>
  </si>
  <si>
    <t>Action taken after flood event</t>
  </si>
  <si>
    <t>Car moving</t>
  </si>
  <si>
    <t>Insertion of props to support the roof</t>
  </si>
  <si>
    <t>Bicycles raised and fixed to a table</t>
  </si>
  <si>
    <t>2 people cleaned the mud from the yard for about 20 days</t>
  </si>
  <si>
    <t>Volounteers</t>
  </si>
  <si>
    <t>Helped by Civil Protection bobcats</t>
  </si>
  <si>
    <t>2 days with the intervention of 5 people</t>
  </si>
  <si>
    <t>public</t>
  </si>
  <si>
    <t>Doors N.</t>
  </si>
  <si>
    <t>Windows N.</t>
  </si>
  <si>
    <t>Damage</t>
  </si>
  <si>
    <t>Perimeter</t>
  </si>
  <si>
    <t>None</t>
  </si>
  <si>
    <t>Affected floor level</t>
  </si>
  <si>
    <t>Section 5: Damage to affected floor</t>
  </si>
  <si>
    <t>Cellar/ basement room</t>
  </si>
  <si>
    <t>Under construction /restoration</t>
  </si>
  <si>
    <t>Time of the action</t>
  </si>
  <si>
    <t>Damage to household electrical appliance</t>
  </si>
  <si>
    <t>Masonry and wood</t>
  </si>
  <si>
    <t>A wooden tool shed and 2 sheds (one steel and one wooden)</t>
  </si>
  <si>
    <t>Prefabricated</t>
  </si>
  <si>
    <t>Blocks in concrete</t>
  </si>
  <si>
    <t>Masonry + steel</t>
  </si>
  <si>
    <t>Mixed: masonry, steel (coverage)</t>
  </si>
  <si>
    <t>concrete</t>
  </si>
  <si>
    <t>masonry</t>
  </si>
  <si>
    <t>wood</t>
  </si>
  <si>
    <t>other</t>
  </si>
  <si>
    <t>steel</t>
  </si>
  <si>
    <t>Maximum water depth (inside)</t>
  </si>
  <si>
    <t>normal</t>
  </si>
  <si>
    <t>bad</t>
  </si>
  <si>
    <t>good</t>
  </si>
  <si>
    <t>Starting time</t>
  </si>
  <si>
    <t xml:space="preserve">Starting date </t>
  </si>
  <si>
    <t>End time</t>
  </si>
  <si>
    <t>End date</t>
  </si>
  <si>
    <t>Peak of water depth date</t>
  </si>
  <si>
    <t>Peak of water depth time</t>
  </si>
  <si>
    <t>Doors</t>
  </si>
  <si>
    <t>Windows</t>
  </si>
  <si>
    <t>N. cars</t>
  </si>
  <si>
    <t>N. motorcycles</t>
  </si>
  <si>
    <t>mixed (masonry + concrete)</t>
  </si>
  <si>
    <t>Section 2: Building feature</t>
  </si>
  <si>
    <t>1 motorcycles + bicycles</t>
  </si>
  <si>
    <t>Damage to equipment in the garage such as: tractor; lawnmower; mower; bob</t>
  </si>
  <si>
    <t>Approximately 100 m^2</t>
  </si>
  <si>
    <t>Measured obtained from the measurement of the principal building and from satelite images</t>
  </si>
  <si>
    <t>h1= mean height -&gt; hmax=2.96m hmin=2.26m</t>
  </si>
  <si>
    <t>The annex has two floors: the ground floor is used as a garage; the basement floor is used as a cellar.</t>
  </si>
  <si>
    <t>Garage: 8.75 m^2; Storage: 17.5 m^2</t>
  </si>
  <si>
    <t>Already clean up</t>
  </si>
  <si>
    <t>Window</t>
  </si>
  <si>
    <t>storage / ex-carpentery</t>
  </si>
  <si>
    <t>all furniture and appliances were present due to the renovation</t>
  </si>
  <si>
    <t>Small masonry annex with rabbit cages and chicken coop</t>
  </si>
  <si>
    <t>Electric convectors</t>
  </si>
  <si>
    <t>Wardrobe, table, chairs, equipments</t>
  </si>
  <si>
    <t>Wardrobe, table, shelves</t>
  </si>
  <si>
    <t>Pallets</t>
  </si>
  <si>
    <t>Shelves</t>
  </si>
  <si>
    <t>Shelves, furniture in storage</t>
  </si>
  <si>
    <t>Furniture stored in the garage</t>
  </si>
  <si>
    <t>Damage to tools: chainsaw and compressor</t>
  </si>
  <si>
    <t>Motor hoes, compressors, drills</t>
  </si>
  <si>
    <t>Fridge and freezer were saved (because they were moved)</t>
  </si>
  <si>
    <t>Old polisher</t>
  </si>
  <si>
    <t>Damage to the garage's door</t>
  </si>
  <si>
    <t>Door break down</t>
  </si>
  <si>
    <t>Damage to agricultural equipments</t>
  </si>
  <si>
    <t>Damage to small tractor</t>
  </si>
  <si>
    <t>Old scooter + bicycles (cars were moved in time)</t>
  </si>
  <si>
    <t>Reported in form A</t>
  </si>
  <si>
    <t>Equipment</t>
  </si>
  <si>
    <t>Tractor, agricultural equipment (motor cultivator, BCS, ...)</t>
  </si>
  <si>
    <t>Carpentry machinery and equipment</t>
  </si>
  <si>
    <t>Agricultural equipment and machinery</t>
  </si>
  <si>
    <t>Still unusable</t>
  </si>
  <si>
    <t>Still unusable (waiting for wall to dry)</t>
  </si>
  <si>
    <t>Mitigation actions</t>
  </si>
  <si>
    <t>The construction company that was already working on the building helped with the clean-up. It was not possible to understand the economic amount. Part of the cleaning was done thanks to the intervention of the Civil Protection</t>
  </si>
  <si>
    <t>Pressure washer</t>
  </si>
  <si>
    <t>Cleaning by volunteers (half day)</t>
  </si>
  <si>
    <t>Private company to clean and redo the garden</t>
  </si>
  <si>
    <t>Same as form A</t>
  </si>
  <si>
    <t>Still not finished</t>
  </si>
  <si>
    <t>Helped by volunteers</t>
  </si>
  <si>
    <t>Helped by friends, unquantifiable</t>
  </si>
  <si>
    <t>See form B</t>
  </si>
  <si>
    <t>Following the 2014 event, bulkheads were installed and perimeter wall (river side) was built. On the evening of September 16, the bulkheads were installed
In 2014, they had been reimbursed 50% by the municipality.</t>
  </si>
  <si>
    <t>Cleaning, sewage cleaning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</si>
</sst>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F400]h:mm:ss\ AM/PM"/>
  </numFmts>
  <fonts count="5" x14ac:knownFonts="1">
    <font>
      <sz val="11"/>
      <color theme="1"/>
      <name val="Calibri"/>
      <family val="2"/>
      <scheme val="minor"/>
    </font>
    <font>
      <sz val="11"/>
      <name val="Calibri"/>
      <family val="2"/>
      <scheme val="minor"/>
    </font>
    <font>
      <b/>
      <sz val="11"/>
      <name val="Calibri"/>
      <family val="2"/>
      <scheme val="minor"/>
    </font>
    <font>
      <u/>
      <sz val="11"/>
      <color theme="10"/>
      <name val="Calibri"/>
      <family val="2"/>
    </font>
    <font>
      <b/>
      <sz val="10"/>
      <name val="Calibri"/>
      <family val="2"/>
      <scheme val="minor"/>
    </font>
  </fonts>
  <fills count="2">
    <fill>
      <patternFill patternType="none"/>
    </fill>
    <fill>
      <patternFill patternType="gray125"/>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s>
  <cellStyleXfs count="2">
    <xf numFmtId="0" fontId="0" fillId="0" borderId="0"/>
    <xf numFmtId="0" fontId="3" fillId="0" borderId="0" applyNumberFormat="0" applyFill="0" applyBorder="0" applyAlignment="0" applyProtection="0">
      <alignment vertical="top"/>
      <protection locked="0"/>
    </xf>
  </cellStyleXfs>
  <cellXfs count="88">
    <xf numFmtId="0" fontId="0" fillId="0" borderId="0" xfId="0"/>
    <xf numFmtId="0" fontId="2" fillId="0" borderId="1" xfId="0" applyFont="1" applyBorder="1" applyAlignment="1">
      <alignment vertical="center" wrapText="1"/>
    </xf>
    <xf numFmtId="0" fontId="0" fillId="0" borderId="0" xfId="0" applyAlignment="1">
      <alignment horizontal="center"/>
    </xf>
    <xf numFmtId="0" fontId="2" fillId="0" borderId="1" xfId="0" applyFont="1" applyBorder="1" applyAlignment="1">
      <alignment horizontal="left" vertical="center" wrapText="1"/>
    </xf>
    <xf numFmtId="0" fontId="1" fillId="0" borderId="7" xfId="0" applyFont="1" applyBorder="1" applyAlignment="1">
      <alignment horizontal="center"/>
    </xf>
    <xf numFmtId="0" fontId="1" fillId="0" borderId="0" xfId="0" applyFont="1" applyAlignment="1">
      <alignment horizontal="center"/>
    </xf>
    <xf numFmtId="0" fontId="1" fillId="0" borderId="2" xfId="0" applyFont="1" applyBorder="1" applyAlignment="1">
      <alignment horizontal="center"/>
    </xf>
    <xf numFmtId="0" fontId="2" fillId="0" borderId="15" xfId="0" applyFont="1" applyBorder="1" applyAlignment="1">
      <alignment horizontal="left" vertical="center" wrapText="1"/>
    </xf>
    <xf numFmtId="0" fontId="2" fillId="0" borderId="13" xfId="0" applyFont="1" applyBorder="1" applyAlignment="1">
      <alignment horizontal="left" vertical="center" wrapText="1"/>
    </xf>
    <xf numFmtId="0" fontId="2" fillId="0" borderId="6" xfId="0" applyFont="1" applyBorder="1" applyAlignment="1">
      <alignment vertical="center" wrapText="1"/>
    </xf>
    <xf numFmtId="0" fontId="1" fillId="0" borderId="7" xfId="0" applyFont="1" applyBorder="1" applyAlignment="1">
      <alignment horizontal="left"/>
    </xf>
    <xf numFmtId="0" fontId="1" fillId="0" borderId="8" xfId="0" applyFont="1" applyBorder="1"/>
    <xf numFmtId="0" fontId="1" fillId="0" borderId="8" xfId="0" applyFont="1" applyBorder="1" applyAlignment="1">
      <alignment horizontal="left"/>
    </xf>
    <xf numFmtId="0" fontId="2" fillId="0" borderId="0" xfId="0" applyFont="1" applyAlignment="1">
      <alignment horizontal="center" vertical="center"/>
    </xf>
    <xf numFmtId="0" fontId="2" fillId="0" borderId="8" xfId="0" applyFont="1" applyBorder="1" applyAlignment="1">
      <alignment horizontal="center" vertical="center"/>
    </xf>
    <xf numFmtId="0" fontId="2" fillId="0" borderId="2" xfId="0" applyFont="1" applyBorder="1" applyAlignment="1">
      <alignment horizontal="center"/>
    </xf>
    <xf numFmtId="0" fontId="2" fillId="0" borderId="3" xfId="0" applyFont="1" applyBorder="1" applyAlignment="1">
      <alignment horizontal="center"/>
    </xf>
    <xf numFmtId="0" fontId="2" fillId="0" borderId="9" xfId="0" applyFont="1" applyBorder="1" applyAlignment="1">
      <alignment horizontal="center"/>
    </xf>
    <xf numFmtId="0" fontId="2" fillId="0" borderId="6" xfId="0" applyFont="1" applyBorder="1" applyAlignment="1">
      <alignment horizontal="center" vertical="center" wrapText="1"/>
    </xf>
    <xf numFmtId="0" fontId="2" fillId="0" borderId="1" xfId="0" applyFont="1" applyBorder="1" applyAlignment="1">
      <alignment horizontal="center" vertical="center" wrapText="1"/>
    </xf>
    <xf numFmtId="0" fontId="2" fillId="0" borderId="4" xfId="0" applyFont="1" applyBorder="1" applyAlignment="1">
      <alignment horizontal="center" vertical="center"/>
    </xf>
    <xf numFmtId="0" fontId="2" fillId="0" borderId="5" xfId="0" applyFont="1" applyBorder="1" applyAlignment="1">
      <alignment horizontal="center" vertical="center"/>
    </xf>
    <xf numFmtId="0" fontId="2" fillId="0" borderId="6" xfId="0" applyFont="1" applyBorder="1" applyAlignment="1">
      <alignment horizontal="center" vertical="center"/>
    </xf>
    <xf numFmtId="0" fontId="2" fillId="0" borderId="4" xfId="0" applyFont="1" applyBorder="1" applyAlignment="1">
      <alignment horizontal="center" vertical="center" wrapText="1"/>
    </xf>
    <xf numFmtId="0" fontId="2" fillId="0" borderId="5" xfId="0" applyFont="1" applyBorder="1" applyAlignment="1">
      <alignment horizontal="center" vertical="center" wrapText="1"/>
    </xf>
    <xf numFmtId="0" fontId="4" fillId="0" borderId="6" xfId="0" applyFont="1" applyBorder="1" applyAlignment="1">
      <alignment horizontal="left" vertical="center" wrapText="1"/>
    </xf>
    <xf numFmtId="0" fontId="4" fillId="0" borderId="1" xfId="0" applyFont="1" applyBorder="1" applyAlignment="1">
      <alignment horizontal="left" vertical="center" wrapText="1"/>
    </xf>
    <xf numFmtId="0" fontId="1" fillId="0" borderId="15" xfId="0" applyFont="1" applyBorder="1" applyAlignment="1">
      <alignment horizontal="center"/>
    </xf>
    <xf numFmtId="0" fontId="1" fillId="0" borderId="14" xfId="0" applyFont="1" applyBorder="1" applyAlignment="1">
      <alignment horizontal="center"/>
    </xf>
    <xf numFmtId="0" fontId="1" fillId="0" borderId="12" xfId="0" applyFont="1" applyBorder="1" applyAlignment="1">
      <alignment horizontal="center"/>
    </xf>
    <xf numFmtId="2" fontId="1" fillId="0" borderId="15" xfId="0" applyNumberFormat="1" applyFont="1" applyBorder="1" applyAlignment="1">
      <alignment horizontal="left"/>
    </xf>
    <xf numFmtId="0" fontId="1" fillId="0" borderId="12" xfId="0" applyFont="1" applyBorder="1" applyAlignment="1">
      <alignment horizontal="left"/>
    </xf>
    <xf numFmtId="0" fontId="1" fillId="0" borderId="15" xfId="0" applyFont="1" applyBorder="1"/>
    <xf numFmtId="0" fontId="1" fillId="0" borderId="12" xfId="0" applyFont="1" applyBorder="1"/>
    <xf numFmtId="0" fontId="1" fillId="0" borderId="7" xfId="0" applyFont="1" applyBorder="1"/>
    <xf numFmtId="0" fontId="1" fillId="0" borderId="15" xfId="0" applyFont="1" applyBorder="1" applyAlignment="1">
      <alignment horizontal="left"/>
    </xf>
    <xf numFmtId="0" fontId="1" fillId="0" borderId="14" xfId="0" applyFont="1" applyBorder="1" applyAlignment="1">
      <alignment horizontal="left"/>
    </xf>
    <xf numFmtId="2" fontId="1" fillId="0" borderId="14" xfId="0" applyNumberFormat="1" applyFont="1" applyBorder="1" applyAlignment="1">
      <alignment horizontal="left"/>
    </xf>
    <xf numFmtId="0" fontId="1" fillId="0" borderId="14" xfId="0" applyFont="1" applyBorder="1"/>
    <xf numFmtId="0" fontId="1" fillId="0" borderId="8" xfId="0" applyFont="1" applyBorder="1" applyAlignment="1">
      <alignment horizontal="center"/>
    </xf>
    <xf numFmtId="2" fontId="1" fillId="0" borderId="7" xfId="0" applyNumberFormat="1" applyFont="1" applyBorder="1" applyAlignment="1">
      <alignment horizontal="left"/>
    </xf>
    <xf numFmtId="0" fontId="1" fillId="0" borderId="0" xfId="0" applyFont="1" applyAlignment="1">
      <alignment horizontal="left"/>
    </xf>
    <xf numFmtId="2" fontId="1" fillId="0" borderId="0" xfId="0" applyNumberFormat="1" applyFont="1" applyAlignment="1">
      <alignment horizontal="left"/>
    </xf>
    <xf numFmtId="0" fontId="1" fillId="0" borderId="0" xfId="0" applyFont="1"/>
    <xf numFmtId="16" fontId="1" fillId="0" borderId="8" xfId="0" applyNumberFormat="1" applyFont="1" applyBorder="1" applyAlignment="1">
      <alignment horizontal="left"/>
    </xf>
    <xf numFmtId="0" fontId="1" fillId="0" borderId="8" xfId="0" quotePrefix="1" applyFont="1" applyBorder="1"/>
    <xf numFmtId="0" fontId="1" fillId="0" borderId="3" xfId="0" applyFont="1" applyBorder="1" applyAlignment="1">
      <alignment horizontal="center"/>
    </xf>
    <xf numFmtId="0" fontId="1" fillId="0" borderId="9" xfId="0" applyFont="1" applyBorder="1" applyAlignment="1">
      <alignment horizontal="center"/>
    </xf>
    <xf numFmtId="2" fontId="1" fillId="0" borderId="2" xfId="0" applyNumberFormat="1" applyFont="1" applyBorder="1" applyAlignment="1">
      <alignment horizontal="left"/>
    </xf>
    <xf numFmtId="0" fontId="1" fillId="0" borderId="9" xfId="0" applyFont="1" applyBorder="1" applyAlignment="1">
      <alignment horizontal="left"/>
    </xf>
    <xf numFmtId="0" fontId="1" fillId="0" borderId="2" xfId="0" applyFont="1" applyBorder="1"/>
    <xf numFmtId="0" fontId="1" fillId="0" borderId="9" xfId="0" applyFont="1" applyBorder="1"/>
    <xf numFmtId="0" fontId="1" fillId="0" borderId="2" xfId="0" applyFont="1" applyBorder="1" applyAlignment="1">
      <alignment horizontal="left"/>
    </xf>
    <xf numFmtId="0" fontId="1" fillId="0" borderId="3" xfId="0" applyFont="1" applyBorder="1" applyAlignment="1">
      <alignment horizontal="left"/>
    </xf>
    <xf numFmtId="2" fontId="1" fillId="0" borderId="3" xfId="0" applyNumberFormat="1" applyFont="1" applyBorder="1" applyAlignment="1">
      <alignment horizontal="left"/>
    </xf>
    <xf numFmtId="0" fontId="1" fillId="0" borderId="3" xfId="0" applyFont="1" applyBorder="1"/>
    <xf numFmtId="0" fontId="2" fillId="0" borderId="15" xfId="0" applyFont="1" applyBorder="1" applyAlignment="1">
      <alignment horizontal="center" vertical="center"/>
    </xf>
    <xf numFmtId="0" fontId="2" fillId="0" borderId="12" xfId="0" applyFont="1" applyBorder="1" applyAlignment="1">
      <alignment horizontal="center" vertical="center"/>
    </xf>
    <xf numFmtId="0" fontId="2" fillId="0" borderId="4" xfId="0" applyFont="1" applyBorder="1" applyAlignment="1">
      <alignment horizontal="center"/>
    </xf>
    <xf numFmtId="0" fontId="2" fillId="0" borderId="5" xfId="0" applyFont="1" applyBorder="1" applyAlignment="1">
      <alignment horizontal="center"/>
    </xf>
    <xf numFmtId="0" fontId="2" fillId="0" borderId="6" xfId="0" applyFont="1" applyBorder="1" applyAlignment="1">
      <alignment horizontal="center"/>
    </xf>
    <xf numFmtId="0" fontId="2" fillId="0" borderId="1" xfId="0" applyFont="1" applyBorder="1" applyAlignment="1">
      <alignment horizontal="center"/>
    </xf>
    <xf numFmtId="0" fontId="2" fillId="0" borderId="2" xfId="0" applyFont="1" applyBorder="1" applyAlignment="1">
      <alignment horizontal="center" vertical="center"/>
    </xf>
    <xf numFmtId="0" fontId="2" fillId="0" borderId="9" xfId="0" applyFont="1" applyBorder="1" applyAlignment="1">
      <alignment horizontal="center" vertical="center"/>
    </xf>
    <xf numFmtId="0" fontId="2" fillId="0" borderId="1" xfId="0" applyFont="1" applyBorder="1" applyAlignment="1">
      <alignment horizontal="center" vertical="center" wrapText="1"/>
    </xf>
    <xf numFmtId="0" fontId="2" fillId="0" borderId="1" xfId="0" applyFont="1" applyBorder="1" applyAlignment="1">
      <alignment horizontal="center" vertical="center"/>
    </xf>
    <xf numFmtId="0" fontId="2" fillId="0" borderId="10" xfId="0" applyFont="1" applyBorder="1" applyAlignment="1">
      <alignment horizontal="left" vertical="center" wrapText="1"/>
    </xf>
    <xf numFmtId="0" fontId="2" fillId="0" borderId="6" xfId="0" applyFont="1" applyBorder="1" applyAlignment="1">
      <alignment horizontal="left" vertical="center" wrapText="1"/>
    </xf>
    <xf numFmtId="0" fontId="2" fillId="0" borderId="8" xfId="0" applyFont="1" applyBorder="1" applyAlignment="1">
      <alignment horizontal="center" vertical="center" wrapText="1"/>
    </xf>
    <xf numFmtId="164" fontId="1" fillId="0" borderId="15" xfId="0" applyNumberFormat="1" applyFont="1" applyBorder="1" applyAlignment="1">
      <alignment horizontal="left"/>
    </xf>
    <xf numFmtId="164" fontId="1" fillId="0" borderId="12" xfId="0" applyNumberFormat="1" applyFont="1" applyBorder="1" applyAlignment="1">
      <alignment horizontal="left"/>
    </xf>
    <xf numFmtId="165" fontId="1" fillId="0" borderId="15" xfId="0" applyNumberFormat="1" applyFont="1" applyBorder="1" applyAlignment="1">
      <alignment horizontal="left"/>
    </xf>
    <xf numFmtId="14" fontId="1" fillId="0" borderId="14" xfId="0" applyNumberFormat="1" applyFont="1" applyBorder="1" applyAlignment="1">
      <alignment horizontal="left"/>
    </xf>
    <xf numFmtId="165" fontId="1" fillId="0" borderId="14" xfId="0" applyNumberFormat="1" applyFont="1" applyBorder="1" applyAlignment="1">
      <alignment horizontal="left"/>
    </xf>
    <xf numFmtId="0" fontId="1" fillId="0" borderId="13" xfId="0" applyFont="1" applyBorder="1" applyAlignment="1">
      <alignment horizontal="center"/>
    </xf>
    <xf numFmtId="164" fontId="1" fillId="0" borderId="7" xfId="0" applyNumberFormat="1" applyFont="1" applyBorder="1" applyAlignment="1">
      <alignment horizontal="left"/>
    </xf>
    <xf numFmtId="164" fontId="1" fillId="0" borderId="8" xfId="0" applyNumberFormat="1" applyFont="1" applyBorder="1" applyAlignment="1">
      <alignment horizontal="left"/>
    </xf>
    <xf numFmtId="165" fontId="1" fillId="0" borderId="7" xfId="0" applyNumberFormat="1" applyFont="1" applyBorder="1" applyAlignment="1">
      <alignment horizontal="left"/>
    </xf>
    <xf numFmtId="14" fontId="1" fillId="0" borderId="0" xfId="0" applyNumberFormat="1" applyFont="1" applyAlignment="1">
      <alignment horizontal="left"/>
    </xf>
    <xf numFmtId="165" fontId="1" fillId="0" borderId="0" xfId="0" applyNumberFormat="1" applyFont="1" applyAlignment="1">
      <alignment horizontal="left"/>
    </xf>
    <xf numFmtId="0" fontId="1" fillId="0" borderId="10" xfId="0" applyFont="1" applyBorder="1" applyAlignment="1">
      <alignment horizontal="center"/>
    </xf>
    <xf numFmtId="0" fontId="1" fillId="0" borderId="8" xfId="0" quotePrefix="1" applyFont="1" applyBorder="1" applyAlignment="1">
      <alignment horizontal="left"/>
    </xf>
    <xf numFmtId="164" fontId="1" fillId="0" borderId="2" xfId="0" applyNumberFormat="1" applyFont="1" applyBorder="1" applyAlignment="1">
      <alignment horizontal="left"/>
    </xf>
    <xf numFmtId="164" fontId="1" fillId="0" borderId="9" xfId="0" applyNumberFormat="1" applyFont="1" applyBorder="1" applyAlignment="1">
      <alignment horizontal="left"/>
    </xf>
    <xf numFmtId="165" fontId="1" fillId="0" borderId="2" xfId="0" applyNumberFormat="1" applyFont="1" applyBorder="1" applyAlignment="1">
      <alignment horizontal="left"/>
    </xf>
    <xf numFmtId="14" fontId="1" fillId="0" borderId="3" xfId="0" applyNumberFormat="1" applyFont="1" applyBorder="1" applyAlignment="1">
      <alignment horizontal="left"/>
    </xf>
    <xf numFmtId="165" fontId="1" fillId="0" borderId="3" xfId="0" applyNumberFormat="1" applyFont="1" applyBorder="1" applyAlignment="1">
      <alignment horizontal="left"/>
    </xf>
    <xf numFmtId="0" fontId="1" fillId="0" borderId="11" xfId="0" applyFont="1" applyBorder="1" applyAlignment="1">
      <alignment horizontal="center"/>
    </xf>
  </cellXfs>
  <cellStyles count="2">
    <cellStyle name="Collegamento ipertestuale 2" xfId="1" xr:uid="{9C18855E-84F7-4F76-9065-3972992A84EF}"/>
    <cellStyle name="Normale" xfId="0" builtinId="0"/>
  </cellStyles>
  <dxfs count="0"/>
  <tableStyles count="0" defaultTableStyle="TableStyleMedium2" defaultPivotStyle="PivotStyleLight16"/>
  <colors>
    <mruColors>
      <color rgb="FFF4E4EF"/>
      <color rgb="FFF6EAF2"/>
      <color rgb="FFFFFFFF"/>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3EF063-8686-4E05-A96B-A7AD20D3BA14}">
  <dimension ref="A1:DW126"/>
  <sheetViews>
    <sheetView tabSelected="1" topLeftCell="M1" zoomScale="85" zoomScaleNormal="85" workbookViewId="0">
      <selection activeCell="X9" sqref="X9"/>
    </sheetView>
  </sheetViews>
  <sheetFormatPr defaultRowHeight="14.4" x14ac:dyDescent="0.3"/>
  <cols>
    <col min="1" max="2" width="8.88671875" style="2"/>
    <col min="3" max="3" width="16.88671875" customWidth="1"/>
    <col min="4" max="4" width="12.5546875" customWidth="1"/>
    <col min="5" max="5" width="13.33203125" customWidth="1"/>
    <col min="6" max="6" width="9.88671875" customWidth="1"/>
    <col min="20" max="20" width="11.6640625" customWidth="1"/>
    <col min="21" max="21" width="14.44140625" customWidth="1"/>
    <col min="22" max="22" width="10.77734375" customWidth="1"/>
    <col min="23" max="23" width="15" customWidth="1"/>
    <col min="24" max="24" width="12.5546875" customWidth="1"/>
    <col min="25" max="25" width="14" customWidth="1"/>
    <col min="26" max="26" width="20.44140625" customWidth="1"/>
    <col min="30" max="30" width="11.44140625" customWidth="1"/>
    <col min="36" max="36" width="34.44140625" bestFit="1" customWidth="1"/>
  </cols>
  <sheetData>
    <row r="1" spans="1:36" x14ac:dyDescent="0.3">
      <c r="A1" s="56" t="s">
        <v>75</v>
      </c>
      <c r="B1" s="57"/>
      <c r="C1" s="58" t="s">
        <v>192</v>
      </c>
      <c r="D1" s="59"/>
      <c r="E1" s="58" t="s">
        <v>262</v>
      </c>
      <c r="F1" s="59"/>
      <c r="G1" s="59"/>
      <c r="H1" s="59"/>
      <c r="I1" s="59"/>
      <c r="J1" s="59"/>
      <c r="K1" s="59"/>
      <c r="L1" s="59"/>
      <c r="M1" s="59"/>
      <c r="N1" s="59"/>
      <c r="O1" s="59"/>
      <c r="P1" s="59"/>
      <c r="Q1" s="59"/>
      <c r="R1" s="59"/>
      <c r="S1" s="60"/>
      <c r="T1" s="58" t="s">
        <v>79</v>
      </c>
      <c r="U1" s="59"/>
      <c r="V1" s="59"/>
      <c r="W1" s="59"/>
      <c r="X1" s="59"/>
      <c r="Y1" s="59"/>
      <c r="Z1" s="59"/>
      <c r="AA1" s="59"/>
      <c r="AB1" s="59"/>
      <c r="AC1" s="59"/>
      <c r="AD1" s="59"/>
      <c r="AE1" s="59"/>
      <c r="AF1" s="59"/>
      <c r="AG1" s="59"/>
      <c r="AH1" s="59"/>
      <c r="AI1" s="60"/>
      <c r="AJ1" s="61" t="s">
        <v>80</v>
      </c>
    </row>
    <row r="2" spans="1:36" ht="29.4" customHeight="1" x14ac:dyDescent="0.3">
      <c r="A2" s="62"/>
      <c r="B2" s="63"/>
      <c r="C2" s="23" t="s">
        <v>0</v>
      </c>
      <c r="D2" s="24"/>
      <c r="E2" s="19" t="s">
        <v>3</v>
      </c>
      <c r="F2" s="19"/>
      <c r="G2" s="19" t="s">
        <v>4</v>
      </c>
      <c r="H2" s="19"/>
      <c r="I2" s="19"/>
      <c r="J2" s="23" t="s">
        <v>5</v>
      </c>
      <c r="K2" s="24"/>
      <c r="L2" s="18"/>
      <c r="M2" s="19" t="s">
        <v>90</v>
      </c>
      <c r="N2" s="19"/>
      <c r="O2" s="18" t="s">
        <v>10</v>
      </c>
      <c r="P2" s="19"/>
      <c r="Q2" s="19"/>
      <c r="R2" s="19"/>
      <c r="S2" s="19"/>
      <c r="T2" s="23" t="s">
        <v>15</v>
      </c>
      <c r="U2" s="24"/>
      <c r="V2" s="24"/>
      <c r="W2" s="24"/>
      <c r="X2" s="24"/>
      <c r="Y2" s="24"/>
      <c r="Z2" s="64" t="s">
        <v>16</v>
      </c>
      <c r="AA2" s="18" t="s">
        <v>18</v>
      </c>
      <c r="AB2" s="19"/>
      <c r="AC2" s="19"/>
      <c r="AD2" s="19"/>
      <c r="AE2" s="19"/>
      <c r="AF2" s="19"/>
      <c r="AG2" s="19"/>
      <c r="AH2" s="18" t="s">
        <v>23</v>
      </c>
      <c r="AI2" s="19"/>
      <c r="AJ2" s="65" t="s">
        <v>193</v>
      </c>
    </row>
    <row r="3" spans="1:36" ht="43.2" x14ac:dyDescent="0.3">
      <c r="A3" s="3" t="s">
        <v>104</v>
      </c>
      <c r="B3" s="3" t="s">
        <v>105</v>
      </c>
      <c r="C3" s="1" t="s">
        <v>84</v>
      </c>
      <c r="D3" s="1" t="s">
        <v>85</v>
      </c>
      <c r="E3" s="1" t="s">
        <v>3</v>
      </c>
      <c r="F3" s="1" t="s">
        <v>8</v>
      </c>
      <c r="G3" s="1" t="s">
        <v>4</v>
      </c>
      <c r="H3" s="1" t="s">
        <v>7</v>
      </c>
      <c r="I3" s="1" t="s">
        <v>8</v>
      </c>
      <c r="J3" s="1" t="s">
        <v>87</v>
      </c>
      <c r="K3" s="1" t="s">
        <v>88</v>
      </c>
      <c r="L3" s="1" t="s">
        <v>8</v>
      </c>
      <c r="M3" s="66" t="s">
        <v>90</v>
      </c>
      <c r="N3" s="1" t="s">
        <v>8</v>
      </c>
      <c r="O3" s="67" t="s">
        <v>78</v>
      </c>
      <c r="P3" s="3" t="s">
        <v>12</v>
      </c>
      <c r="Q3" s="3" t="s">
        <v>13</v>
      </c>
      <c r="R3" s="3" t="s">
        <v>14</v>
      </c>
      <c r="S3" s="3" t="s">
        <v>8</v>
      </c>
      <c r="T3" s="1" t="s">
        <v>251</v>
      </c>
      <c r="U3" s="9" t="s">
        <v>252</v>
      </c>
      <c r="V3" s="9" t="s">
        <v>253</v>
      </c>
      <c r="W3" s="1" t="s">
        <v>254</v>
      </c>
      <c r="X3" s="1" t="s">
        <v>256</v>
      </c>
      <c r="Y3" s="1" t="s">
        <v>255</v>
      </c>
      <c r="Z3" s="3" t="s">
        <v>17</v>
      </c>
      <c r="AA3" s="9" t="s">
        <v>19</v>
      </c>
      <c r="AB3" s="1" t="s">
        <v>20</v>
      </c>
      <c r="AC3" s="1" t="s">
        <v>21</v>
      </c>
      <c r="AD3" s="1" t="s">
        <v>91</v>
      </c>
      <c r="AE3" s="1" t="s">
        <v>22</v>
      </c>
      <c r="AF3" s="1" t="s">
        <v>11</v>
      </c>
      <c r="AG3" s="1" t="s">
        <v>7</v>
      </c>
      <c r="AH3" s="9" t="s">
        <v>19</v>
      </c>
      <c r="AI3" s="1" t="s">
        <v>24</v>
      </c>
      <c r="AJ3" s="68" t="s">
        <v>193</v>
      </c>
    </row>
    <row r="4" spans="1:36" x14ac:dyDescent="0.3">
      <c r="A4" s="27" t="s">
        <v>25</v>
      </c>
      <c r="B4" s="29" t="s">
        <v>132</v>
      </c>
      <c r="C4" s="69" t="s">
        <v>76</v>
      </c>
      <c r="D4" s="70" t="s">
        <v>76</v>
      </c>
      <c r="E4" s="36" t="s">
        <v>71</v>
      </c>
      <c r="F4" s="36" t="s">
        <v>76</v>
      </c>
      <c r="G4" s="35" t="s">
        <v>242</v>
      </c>
      <c r="H4" s="36" t="s">
        <v>76</v>
      </c>
      <c r="I4" s="31" t="s">
        <v>76</v>
      </c>
      <c r="J4" s="30">
        <v>2.5</v>
      </c>
      <c r="K4" s="37">
        <v>7.5</v>
      </c>
      <c r="L4" s="31" t="s">
        <v>76</v>
      </c>
      <c r="M4" s="36">
        <v>1</v>
      </c>
      <c r="N4" s="36" t="s">
        <v>76</v>
      </c>
      <c r="O4" s="30">
        <v>0.26</v>
      </c>
      <c r="P4" s="37">
        <v>0</v>
      </c>
      <c r="Q4" s="37">
        <v>2.2000000000000002</v>
      </c>
      <c r="R4" s="37" t="s">
        <v>76</v>
      </c>
      <c r="S4" s="31" t="s">
        <v>185</v>
      </c>
      <c r="T4" s="71">
        <v>2.7777777777777776E-2</v>
      </c>
      <c r="U4" s="72">
        <v>44820</v>
      </c>
      <c r="V4" s="73" t="s">
        <v>76</v>
      </c>
      <c r="W4" s="72" t="s">
        <v>76</v>
      </c>
      <c r="X4" s="73">
        <v>0.11458333333333333</v>
      </c>
      <c r="Y4" s="72">
        <v>44820</v>
      </c>
      <c r="Z4" s="30">
        <v>0.7</v>
      </c>
      <c r="AA4" s="35" t="s">
        <v>70</v>
      </c>
      <c r="AB4" s="36">
        <v>1</v>
      </c>
      <c r="AC4" s="36">
        <v>0</v>
      </c>
      <c r="AD4" s="36">
        <v>1</v>
      </c>
      <c r="AE4" s="36">
        <v>0</v>
      </c>
      <c r="AF4" s="36">
        <v>0</v>
      </c>
      <c r="AG4" s="36" t="s">
        <v>76</v>
      </c>
      <c r="AH4" s="35" t="s">
        <v>70</v>
      </c>
      <c r="AI4" s="31" t="s">
        <v>81</v>
      </c>
      <c r="AJ4" s="74">
        <v>1</v>
      </c>
    </row>
    <row r="5" spans="1:36" x14ac:dyDescent="0.3">
      <c r="A5" s="4" t="s">
        <v>26</v>
      </c>
      <c r="B5" s="39" t="s">
        <v>133</v>
      </c>
      <c r="C5" s="75">
        <v>43.719275000000003</v>
      </c>
      <c r="D5" s="76">
        <v>13.214003999999999</v>
      </c>
      <c r="E5" s="41" t="s">
        <v>82</v>
      </c>
      <c r="F5" s="41" t="s">
        <v>183</v>
      </c>
      <c r="G5" s="10" t="s">
        <v>242</v>
      </c>
      <c r="H5" s="41" t="s">
        <v>76</v>
      </c>
      <c r="I5" s="12" t="s">
        <v>76</v>
      </c>
      <c r="J5" s="40">
        <v>3</v>
      </c>
      <c r="K5" s="42">
        <v>7</v>
      </c>
      <c r="L5" s="12" t="s">
        <v>76</v>
      </c>
      <c r="M5" s="41" t="s">
        <v>76</v>
      </c>
      <c r="N5" s="41" t="s">
        <v>76</v>
      </c>
      <c r="O5" s="40">
        <v>0.15</v>
      </c>
      <c r="P5" s="42">
        <v>0.17</v>
      </c>
      <c r="Q5" s="42">
        <v>2.2999999999999998</v>
      </c>
      <c r="R5" s="42" t="s">
        <v>76</v>
      </c>
      <c r="S5" s="12" t="s">
        <v>76</v>
      </c>
      <c r="T5" s="77">
        <v>0.95833333333333337</v>
      </c>
      <c r="U5" s="78">
        <v>44819</v>
      </c>
      <c r="V5" s="79" t="s">
        <v>76</v>
      </c>
      <c r="W5" s="78" t="s">
        <v>76</v>
      </c>
      <c r="X5" s="79" t="s">
        <v>76</v>
      </c>
      <c r="Y5" s="78" t="s">
        <v>76</v>
      </c>
      <c r="Z5" s="40">
        <v>0.86</v>
      </c>
      <c r="AA5" s="10" t="s">
        <v>70</v>
      </c>
      <c r="AB5" s="41">
        <v>1</v>
      </c>
      <c r="AC5" s="41">
        <v>0</v>
      </c>
      <c r="AD5" s="41">
        <v>0</v>
      </c>
      <c r="AE5" s="41">
        <v>0</v>
      </c>
      <c r="AF5" s="41">
        <v>0</v>
      </c>
      <c r="AG5" s="41" t="s">
        <v>76</v>
      </c>
      <c r="AH5" s="10" t="s">
        <v>76</v>
      </c>
      <c r="AI5" s="12" t="s">
        <v>76</v>
      </c>
      <c r="AJ5" s="80">
        <v>1</v>
      </c>
    </row>
    <row r="6" spans="1:36" x14ac:dyDescent="0.3">
      <c r="A6" s="4" t="s">
        <v>27</v>
      </c>
      <c r="B6" s="39" t="s">
        <v>134</v>
      </c>
      <c r="C6" s="75" t="s">
        <v>76</v>
      </c>
      <c r="D6" s="76" t="s">
        <v>76</v>
      </c>
      <c r="E6" s="41" t="s">
        <v>71</v>
      </c>
      <c r="F6" s="41" t="s">
        <v>76</v>
      </c>
      <c r="G6" s="10" t="s">
        <v>243</v>
      </c>
      <c r="H6" s="41" t="s">
        <v>76</v>
      </c>
      <c r="I6" s="12" t="s">
        <v>236</v>
      </c>
      <c r="J6" s="40">
        <v>9.9</v>
      </c>
      <c r="K6" s="42">
        <v>5.9</v>
      </c>
      <c r="L6" s="12" t="s">
        <v>76</v>
      </c>
      <c r="M6" s="41">
        <v>1</v>
      </c>
      <c r="N6" s="41" t="s">
        <v>76</v>
      </c>
      <c r="O6" s="40">
        <v>0.2</v>
      </c>
      <c r="P6" s="42">
        <v>0.02</v>
      </c>
      <c r="Q6" s="42">
        <v>2.2999999999999998</v>
      </c>
      <c r="R6" s="42" t="s">
        <v>76</v>
      </c>
      <c r="S6" s="12" t="s">
        <v>76</v>
      </c>
      <c r="T6" s="77">
        <v>0.125</v>
      </c>
      <c r="U6" s="78">
        <v>44820</v>
      </c>
      <c r="V6" s="79">
        <v>0.29166666666666669</v>
      </c>
      <c r="W6" s="78">
        <v>44820</v>
      </c>
      <c r="X6" s="79" t="s">
        <v>76</v>
      </c>
      <c r="Y6" s="78" t="s">
        <v>76</v>
      </c>
      <c r="Z6" s="40">
        <v>0.7</v>
      </c>
      <c r="AA6" s="10" t="s">
        <v>70</v>
      </c>
      <c r="AB6" s="41">
        <v>1</v>
      </c>
      <c r="AC6" s="41">
        <v>0</v>
      </c>
      <c r="AD6" s="41">
        <v>0</v>
      </c>
      <c r="AE6" s="41">
        <v>0</v>
      </c>
      <c r="AF6" s="41">
        <v>0</v>
      </c>
      <c r="AG6" s="41" t="s">
        <v>76</v>
      </c>
      <c r="AH6" s="10" t="s">
        <v>76</v>
      </c>
      <c r="AI6" s="12" t="s">
        <v>76</v>
      </c>
      <c r="AJ6" s="80">
        <v>1</v>
      </c>
    </row>
    <row r="7" spans="1:36" x14ac:dyDescent="0.3">
      <c r="A7" s="4" t="s">
        <v>28</v>
      </c>
      <c r="B7" s="39" t="s">
        <v>135</v>
      </c>
      <c r="C7" s="75" t="s">
        <v>76</v>
      </c>
      <c r="D7" s="76" t="s">
        <v>76</v>
      </c>
      <c r="E7" s="41" t="s">
        <v>82</v>
      </c>
      <c r="F7" s="41" t="s">
        <v>76</v>
      </c>
      <c r="G7" s="10" t="s">
        <v>242</v>
      </c>
      <c r="H7" s="41" t="s">
        <v>76</v>
      </c>
      <c r="I7" s="12" t="s">
        <v>76</v>
      </c>
      <c r="J7" s="40">
        <v>3</v>
      </c>
      <c r="K7" s="42">
        <v>4</v>
      </c>
      <c r="L7" s="12" t="s">
        <v>76</v>
      </c>
      <c r="M7" s="41">
        <v>1</v>
      </c>
      <c r="N7" s="41" t="s">
        <v>76</v>
      </c>
      <c r="O7" s="40">
        <v>0.13</v>
      </c>
      <c r="P7" s="42">
        <v>0.1</v>
      </c>
      <c r="Q7" s="42">
        <v>2.7</v>
      </c>
      <c r="R7" s="42" t="s">
        <v>76</v>
      </c>
      <c r="S7" s="12" t="s">
        <v>76</v>
      </c>
      <c r="T7" s="77">
        <v>1.0416666666666666E-2</v>
      </c>
      <c r="U7" s="78">
        <v>44820</v>
      </c>
      <c r="V7" s="79">
        <v>0.45833333333333331</v>
      </c>
      <c r="W7" s="78">
        <v>44820</v>
      </c>
      <c r="X7" s="79" t="s">
        <v>76</v>
      </c>
      <c r="Y7" s="78" t="s">
        <v>76</v>
      </c>
      <c r="Z7" s="40" t="s">
        <v>76</v>
      </c>
      <c r="AA7" s="10" t="s">
        <v>70</v>
      </c>
      <c r="AB7" s="41">
        <v>1</v>
      </c>
      <c r="AC7" s="41">
        <v>1</v>
      </c>
      <c r="AD7" s="41">
        <v>1</v>
      </c>
      <c r="AE7" s="41">
        <v>0</v>
      </c>
      <c r="AF7" s="41">
        <v>0</v>
      </c>
      <c r="AG7" s="41" t="s">
        <v>76</v>
      </c>
      <c r="AH7" s="10" t="s">
        <v>2</v>
      </c>
      <c r="AI7" s="12" t="s">
        <v>76</v>
      </c>
      <c r="AJ7" s="80">
        <v>1</v>
      </c>
    </row>
    <row r="8" spans="1:36" x14ac:dyDescent="0.3">
      <c r="A8" s="4" t="s">
        <v>29</v>
      </c>
      <c r="B8" s="39" t="s">
        <v>136</v>
      </c>
      <c r="C8" s="75" t="s">
        <v>76</v>
      </c>
      <c r="D8" s="76" t="s">
        <v>76</v>
      </c>
      <c r="E8" s="41" t="s">
        <v>71</v>
      </c>
      <c r="F8" s="41" t="s">
        <v>76</v>
      </c>
      <c r="G8" s="10" t="s">
        <v>242</v>
      </c>
      <c r="H8" s="41" t="s">
        <v>76</v>
      </c>
      <c r="I8" s="12" t="s">
        <v>76</v>
      </c>
      <c r="J8" s="40">
        <v>10</v>
      </c>
      <c r="K8" s="42">
        <v>11.6</v>
      </c>
      <c r="L8" s="12" t="s">
        <v>76</v>
      </c>
      <c r="M8" s="41" t="s">
        <v>76</v>
      </c>
      <c r="N8" s="41" t="s">
        <v>76</v>
      </c>
      <c r="O8" s="40">
        <v>0.2</v>
      </c>
      <c r="P8" s="42">
        <v>0</v>
      </c>
      <c r="Q8" s="42">
        <v>3.45</v>
      </c>
      <c r="R8" s="42" t="s">
        <v>76</v>
      </c>
      <c r="S8" s="12" t="s">
        <v>76</v>
      </c>
      <c r="T8" s="77">
        <v>2.0833333333333332E-2</v>
      </c>
      <c r="U8" s="78">
        <v>44820</v>
      </c>
      <c r="V8" s="79">
        <v>0.25</v>
      </c>
      <c r="W8" s="78">
        <v>44820</v>
      </c>
      <c r="X8" s="79">
        <v>0.125</v>
      </c>
      <c r="Y8" s="78">
        <v>44820</v>
      </c>
      <c r="Z8" s="40">
        <v>0.6</v>
      </c>
      <c r="AA8" s="10" t="s">
        <v>70</v>
      </c>
      <c r="AB8" s="41">
        <v>1</v>
      </c>
      <c r="AC8" s="41">
        <v>0</v>
      </c>
      <c r="AD8" s="41">
        <v>0</v>
      </c>
      <c r="AE8" s="41">
        <v>0</v>
      </c>
      <c r="AF8" s="41">
        <v>0</v>
      </c>
      <c r="AG8" s="41" t="s">
        <v>76</v>
      </c>
      <c r="AH8" s="10" t="s">
        <v>2</v>
      </c>
      <c r="AI8" s="12" t="s">
        <v>76</v>
      </c>
      <c r="AJ8" s="80">
        <v>1</v>
      </c>
    </row>
    <row r="9" spans="1:36" x14ac:dyDescent="0.3">
      <c r="A9" s="4" t="s">
        <v>30</v>
      </c>
      <c r="B9" s="39" t="s">
        <v>152</v>
      </c>
      <c r="C9" s="75" t="s">
        <v>76</v>
      </c>
      <c r="D9" s="76" t="s">
        <v>76</v>
      </c>
      <c r="E9" s="41" t="s">
        <v>83</v>
      </c>
      <c r="F9" s="41" t="s">
        <v>76</v>
      </c>
      <c r="G9" s="10" t="s">
        <v>242</v>
      </c>
      <c r="H9" s="41" t="s">
        <v>76</v>
      </c>
      <c r="I9" s="12" t="s">
        <v>76</v>
      </c>
      <c r="J9" s="40">
        <v>2.2999999999999998</v>
      </c>
      <c r="K9" s="42">
        <v>5.2</v>
      </c>
      <c r="L9" s="12" t="s">
        <v>76</v>
      </c>
      <c r="M9" s="41">
        <v>1</v>
      </c>
      <c r="N9" s="41" t="s">
        <v>76</v>
      </c>
      <c r="O9" s="40">
        <v>0.1</v>
      </c>
      <c r="P9" s="42">
        <v>0.02</v>
      </c>
      <c r="Q9" s="42">
        <v>2.2999999999999998</v>
      </c>
      <c r="R9" s="42" t="s">
        <v>76</v>
      </c>
      <c r="S9" s="12" t="s">
        <v>76</v>
      </c>
      <c r="T9" s="77">
        <v>8.3333333333333329E-2</v>
      </c>
      <c r="U9" s="78">
        <v>44820</v>
      </c>
      <c r="V9" s="79">
        <v>0.375</v>
      </c>
      <c r="W9" s="78">
        <v>44820</v>
      </c>
      <c r="X9" s="79">
        <v>0.125</v>
      </c>
      <c r="Y9" s="78">
        <v>44820</v>
      </c>
      <c r="Z9" s="40">
        <v>0.9</v>
      </c>
      <c r="AA9" s="10" t="s">
        <v>70</v>
      </c>
      <c r="AB9" s="41">
        <v>1</v>
      </c>
      <c r="AC9" s="41">
        <v>0</v>
      </c>
      <c r="AD9" s="41">
        <v>0</v>
      </c>
      <c r="AE9" s="41">
        <v>0</v>
      </c>
      <c r="AF9" s="41">
        <v>0</v>
      </c>
      <c r="AG9" s="41" t="s">
        <v>76</v>
      </c>
      <c r="AH9" s="10" t="s">
        <v>2</v>
      </c>
      <c r="AI9" s="12" t="s">
        <v>76</v>
      </c>
      <c r="AJ9" s="80">
        <v>1</v>
      </c>
    </row>
    <row r="10" spans="1:36" x14ac:dyDescent="0.3">
      <c r="A10" s="4" t="s">
        <v>31</v>
      </c>
      <c r="B10" s="39" t="s">
        <v>137</v>
      </c>
      <c r="C10" s="75">
        <v>43.710956000000003</v>
      </c>
      <c r="D10" s="76">
        <v>13.214174</v>
      </c>
      <c r="E10" s="41" t="s">
        <v>184</v>
      </c>
      <c r="F10" s="41" t="s">
        <v>76</v>
      </c>
      <c r="G10" s="10" t="s">
        <v>243</v>
      </c>
      <c r="H10" s="41" t="s">
        <v>76</v>
      </c>
      <c r="I10" s="12" t="s">
        <v>76</v>
      </c>
      <c r="J10" s="40">
        <v>4.0999999999999996</v>
      </c>
      <c r="K10" s="42">
        <v>9</v>
      </c>
      <c r="L10" s="12" t="s">
        <v>76</v>
      </c>
      <c r="M10" s="41">
        <v>1</v>
      </c>
      <c r="N10" s="41" t="s">
        <v>76</v>
      </c>
      <c r="O10" s="40">
        <v>0.21</v>
      </c>
      <c r="P10" s="42">
        <v>7.0000000000000007E-2</v>
      </c>
      <c r="Q10" s="42" t="s">
        <v>76</v>
      </c>
      <c r="R10" s="42">
        <v>2.9</v>
      </c>
      <c r="S10" s="12" t="s">
        <v>76</v>
      </c>
      <c r="T10" s="77">
        <v>4.1666666666666664E-2</v>
      </c>
      <c r="U10" s="78">
        <v>44820</v>
      </c>
      <c r="V10" s="79" t="s">
        <v>76</v>
      </c>
      <c r="W10" s="78" t="s">
        <v>76</v>
      </c>
      <c r="X10" s="79" t="s">
        <v>76</v>
      </c>
      <c r="Y10" s="78" t="s">
        <v>76</v>
      </c>
      <c r="Z10" s="40">
        <v>1.5</v>
      </c>
      <c r="AA10" s="10" t="s">
        <v>70</v>
      </c>
      <c r="AB10" s="41">
        <v>1</v>
      </c>
      <c r="AC10" s="41">
        <v>0</v>
      </c>
      <c r="AD10" s="41">
        <v>1</v>
      </c>
      <c r="AE10" s="41">
        <v>0</v>
      </c>
      <c r="AF10" s="41">
        <v>0</v>
      </c>
      <c r="AG10" s="41" t="s">
        <v>76</v>
      </c>
      <c r="AH10" s="10" t="s">
        <v>2</v>
      </c>
      <c r="AI10" s="12" t="s">
        <v>76</v>
      </c>
      <c r="AJ10" s="80">
        <v>1</v>
      </c>
    </row>
    <row r="11" spans="1:36" x14ac:dyDescent="0.3">
      <c r="A11" s="4" t="s">
        <v>32</v>
      </c>
      <c r="B11" s="39" t="s">
        <v>138</v>
      </c>
      <c r="C11" s="75" t="s">
        <v>76</v>
      </c>
      <c r="D11" s="76" t="s">
        <v>76</v>
      </c>
      <c r="E11" s="41" t="s">
        <v>72</v>
      </c>
      <c r="F11" s="41" t="s">
        <v>76</v>
      </c>
      <c r="G11" s="10" t="s">
        <v>242</v>
      </c>
      <c r="H11" s="41" t="s">
        <v>76</v>
      </c>
      <c r="I11" s="12" t="s">
        <v>76</v>
      </c>
      <c r="J11" s="40">
        <v>2.95</v>
      </c>
      <c r="K11" s="42">
        <v>4.3</v>
      </c>
      <c r="L11" s="12" t="s">
        <v>76</v>
      </c>
      <c r="M11" s="41">
        <v>1</v>
      </c>
      <c r="N11" s="41" t="s">
        <v>76</v>
      </c>
      <c r="O11" s="40">
        <v>0</v>
      </c>
      <c r="P11" s="42">
        <v>0.06</v>
      </c>
      <c r="Q11" s="42">
        <v>2.3199999999999998</v>
      </c>
      <c r="R11" s="42" t="s">
        <v>76</v>
      </c>
      <c r="S11" s="12" t="s">
        <v>76</v>
      </c>
      <c r="T11" s="77">
        <v>0.95833333333333337</v>
      </c>
      <c r="U11" s="78">
        <v>44819</v>
      </c>
      <c r="V11" s="79" t="s">
        <v>76</v>
      </c>
      <c r="W11" s="78" t="s">
        <v>76</v>
      </c>
      <c r="X11" s="79">
        <v>8.3333333333333329E-2</v>
      </c>
      <c r="Y11" s="78">
        <v>44820</v>
      </c>
      <c r="Z11" s="40">
        <v>1.88</v>
      </c>
      <c r="AA11" s="10" t="s">
        <v>70</v>
      </c>
      <c r="AB11" s="41">
        <v>1</v>
      </c>
      <c r="AC11" s="41">
        <v>0</v>
      </c>
      <c r="AD11" s="41">
        <v>0</v>
      </c>
      <c r="AE11" s="41">
        <v>0</v>
      </c>
      <c r="AF11" s="41">
        <v>0</v>
      </c>
      <c r="AG11" s="41" t="s">
        <v>76</v>
      </c>
      <c r="AH11" s="10" t="s">
        <v>2</v>
      </c>
      <c r="AI11" s="12" t="s">
        <v>76</v>
      </c>
      <c r="AJ11" s="80">
        <v>1</v>
      </c>
    </row>
    <row r="12" spans="1:36" x14ac:dyDescent="0.3">
      <c r="A12" s="4" t="s">
        <v>33</v>
      </c>
      <c r="B12" s="39" t="s">
        <v>139</v>
      </c>
      <c r="C12" s="75" t="s">
        <v>76</v>
      </c>
      <c r="D12" s="76" t="s">
        <v>76</v>
      </c>
      <c r="E12" s="41" t="s">
        <v>71</v>
      </c>
      <c r="F12" s="41" t="s">
        <v>76</v>
      </c>
      <c r="G12" s="10" t="s">
        <v>243</v>
      </c>
      <c r="H12" s="41" t="s">
        <v>76</v>
      </c>
      <c r="I12" s="12" t="s">
        <v>76</v>
      </c>
      <c r="J12" s="40">
        <v>10</v>
      </c>
      <c r="K12" s="42">
        <v>21.4</v>
      </c>
      <c r="L12" s="12" t="s">
        <v>76</v>
      </c>
      <c r="M12" s="41">
        <v>1</v>
      </c>
      <c r="N12" s="41" t="s">
        <v>76</v>
      </c>
      <c r="O12" s="40">
        <v>0.01</v>
      </c>
      <c r="P12" s="42">
        <v>0.18</v>
      </c>
      <c r="Q12" s="42">
        <v>3.82</v>
      </c>
      <c r="R12" s="42" t="s">
        <v>76</v>
      </c>
      <c r="S12" s="12" t="s">
        <v>76</v>
      </c>
      <c r="T12" s="77">
        <v>2.0833333333333332E-2</v>
      </c>
      <c r="U12" s="78">
        <v>44820</v>
      </c>
      <c r="V12" s="79" t="s">
        <v>76</v>
      </c>
      <c r="W12" s="78" t="s">
        <v>76</v>
      </c>
      <c r="X12" s="79" t="s">
        <v>76</v>
      </c>
      <c r="Y12" s="78" t="s">
        <v>76</v>
      </c>
      <c r="Z12" s="40">
        <v>0.45</v>
      </c>
      <c r="AA12" s="10" t="s">
        <v>70</v>
      </c>
      <c r="AB12" s="41">
        <v>1</v>
      </c>
      <c r="AC12" s="41">
        <v>0</v>
      </c>
      <c r="AD12" s="41">
        <v>0</v>
      </c>
      <c r="AE12" s="41">
        <v>0</v>
      </c>
      <c r="AF12" s="41">
        <v>0</v>
      </c>
      <c r="AG12" s="41" t="s">
        <v>76</v>
      </c>
      <c r="AH12" s="10" t="s">
        <v>2</v>
      </c>
      <c r="AI12" s="12" t="s">
        <v>76</v>
      </c>
      <c r="AJ12" s="80">
        <v>1</v>
      </c>
    </row>
    <row r="13" spans="1:36" x14ac:dyDescent="0.3">
      <c r="A13" s="4" t="s">
        <v>34</v>
      </c>
      <c r="B13" s="39" t="s">
        <v>153</v>
      </c>
      <c r="C13" s="75">
        <v>43.708511000000001</v>
      </c>
      <c r="D13" s="76">
        <v>13.215906</v>
      </c>
      <c r="E13" s="41" t="s">
        <v>184</v>
      </c>
      <c r="F13" s="41" t="s">
        <v>76</v>
      </c>
      <c r="G13" s="10" t="s">
        <v>244</v>
      </c>
      <c r="H13" s="41" t="s">
        <v>76</v>
      </c>
      <c r="I13" s="12" t="s">
        <v>237</v>
      </c>
      <c r="J13" s="40">
        <v>6</v>
      </c>
      <c r="K13" s="42">
        <v>4</v>
      </c>
      <c r="L13" s="12" t="s">
        <v>76</v>
      </c>
      <c r="M13" s="41">
        <v>1</v>
      </c>
      <c r="N13" s="41" t="s">
        <v>76</v>
      </c>
      <c r="O13" s="40">
        <v>0.5</v>
      </c>
      <c r="P13" s="42">
        <v>0</v>
      </c>
      <c r="Q13" s="42" t="s">
        <v>76</v>
      </c>
      <c r="R13" s="42">
        <v>2</v>
      </c>
      <c r="S13" s="12" t="s">
        <v>76</v>
      </c>
      <c r="T13" s="77">
        <v>0.20833333333333334</v>
      </c>
      <c r="U13" s="78">
        <v>44820</v>
      </c>
      <c r="V13" s="79">
        <v>0.29166666666666669</v>
      </c>
      <c r="W13" s="78">
        <v>44820</v>
      </c>
      <c r="X13" s="79" t="s">
        <v>76</v>
      </c>
      <c r="Y13" s="78" t="s">
        <v>76</v>
      </c>
      <c r="Z13" s="40">
        <v>0.1</v>
      </c>
      <c r="AA13" s="10" t="s">
        <v>70</v>
      </c>
      <c r="AB13" s="41">
        <v>1</v>
      </c>
      <c r="AC13" s="41">
        <v>0</v>
      </c>
      <c r="AD13" s="41">
        <v>0</v>
      </c>
      <c r="AE13" s="41">
        <v>0</v>
      </c>
      <c r="AF13" s="41">
        <v>0</v>
      </c>
      <c r="AG13" s="41" t="s">
        <v>76</v>
      </c>
      <c r="AH13" s="10" t="s">
        <v>2</v>
      </c>
      <c r="AI13" s="12" t="s">
        <v>76</v>
      </c>
      <c r="AJ13" s="80">
        <v>1</v>
      </c>
    </row>
    <row r="14" spans="1:36" x14ac:dyDescent="0.3">
      <c r="A14" s="4" t="s">
        <v>35</v>
      </c>
      <c r="B14" s="39" t="s">
        <v>140</v>
      </c>
      <c r="C14" s="75">
        <v>43.623077000000002</v>
      </c>
      <c r="D14" s="76">
        <v>13.126298</v>
      </c>
      <c r="E14" s="41" t="s">
        <v>83</v>
      </c>
      <c r="F14" s="41" t="s">
        <v>76</v>
      </c>
      <c r="G14" s="10" t="s">
        <v>243</v>
      </c>
      <c r="H14" s="41" t="s">
        <v>76</v>
      </c>
      <c r="I14" s="12" t="s">
        <v>76</v>
      </c>
      <c r="J14" s="40">
        <v>3</v>
      </c>
      <c r="K14" s="42">
        <v>5</v>
      </c>
      <c r="L14" s="12" t="s">
        <v>76</v>
      </c>
      <c r="M14" s="41">
        <v>1</v>
      </c>
      <c r="N14" s="41" t="s">
        <v>76</v>
      </c>
      <c r="O14" s="40">
        <v>0</v>
      </c>
      <c r="P14" s="42">
        <v>0</v>
      </c>
      <c r="Q14" s="42">
        <v>2.5</v>
      </c>
      <c r="R14" s="42" t="s">
        <v>76</v>
      </c>
      <c r="S14" s="12" t="s">
        <v>76</v>
      </c>
      <c r="T14" s="77">
        <v>0.85416666666666663</v>
      </c>
      <c r="U14" s="78">
        <v>44819</v>
      </c>
      <c r="V14" s="79" t="s">
        <v>76</v>
      </c>
      <c r="W14" s="78" t="s">
        <v>76</v>
      </c>
      <c r="X14" s="79" t="s">
        <v>76</v>
      </c>
      <c r="Y14" s="78" t="s">
        <v>76</v>
      </c>
      <c r="Z14" s="40">
        <v>2.5</v>
      </c>
      <c r="AA14" s="10" t="s">
        <v>70</v>
      </c>
      <c r="AB14" s="41">
        <v>1</v>
      </c>
      <c r="AC14" s="41">
        <v>1</v>
      </c>
      <c r="AD14" s="41">
        <v>1</v>
      </c>
      <c r="AE14" s="41">
        <v>1</v>
      </c>
      <c r="AF14" s="41">
        <v>0</v>
      </c>
      <c r="AG14" s="41" t="s">
        <v>76</v>
      </c>
      <c r="AH14" s="10" t="s">
        <v>2</v>
      </c>
      <c r="AI14" s="12" t="s">
        <v>76</v>
      </c>
      <c r="AJ14" s="80">
        <v>1</v>
      </c>
    </row>
    <row r="15" spans="1:36" x14ac:dyDescent="0.3">
      <c r="A15" s="4" t="s">
        <v>36</v>
      </c>
      <c r="B15" s="39" t="s">
        <v>154</v>
      </c>
      <c r="C15" s="75">
        <v>43.651333999999999</v>
      </c>
      <c r="D15" s="76">
        <v>13.125152999999999</v>
      </c>
      <c r="E15" s="41" t="s">
        <v>83</v>
      </c>
      <c r="F15" s="41" t="s">
        <v>76</v>
      </c>
      <c r="G15" s="10" t="s">
        <v>243</v>
      </c>
      <c r="H15" s="41" t="s">
        <v>76</v>
      </c>
      <c r="I15" s="12" t="s">
        <v>76</v>
      </c>
      <c r="J15" s="40" t="s">
        <v>76</v>
      </c>
      <c r="K15" s="42" t="s">
        <v>76</v>
      </c>
      <c r="L15" s="12" t="s">
        <v>76</v>
      </c>
      <c r="M15" s="41">
        <v>1</v>
      </c>
      <c r="N15" s="41" t="s">
        <v>76</v>
      </c>
      <c r="O15" s="40">
        <v>0.5</v>
      </c>
      <c r="P15" s="42">
        <v>0.02</v>
      </c>
      <c r="Q15" s="42">
        <v>2.5</v>
      </c>
      <c r="R15" s="42" t="s">
        <v>76</v>
      </c>
      <c r="S15" s="12" t="s">
        <v>76</v>
      </c>
      <c r="T15" s="77">
        <v>0.85416666666666663</v>
      </c>
      <c r="U15" s="78">
        <v>44819</v>
      </c>
      <c r="V15" s="79" t="s">
        <v>76</v>
      </c>
      <c r="W15" s="78" t="s">
        <v>76</v>
      </c>
      <c r="X15" s="79">
        <v>0.85416666666666663</v>
      </c>
      <c r="Y15" s="78">
        <v>44819</v>
      </c>
      <c r="Z15" s="40">
        <v>1.2</v>
      </c>
      <c r="AA15" s="10" t="s">
        <v>70</v>
      </c>
      <c r="AB15" s="41">
        <v>1</v>
      </c>
      <c r="AC15" s="41">
        <v>0</v>
      </c>
      <c r="AD15" s="41">
        <v>0</v>
      </c>
      <c r="AE15" s="41">
        <v>0</v>
      </c>
      <c r="AF15" s="41">
        <v>0</v>
      </c>
      <c r="AG15" s="41" t="s">
        <v>76</v>
      </c>
      <c r="AH15" s="10" t="s">
        <v>2</v>
      </c>
      <c r="AI15" s="12" t="s">
        <v>76</v>
      </c>
      <c r="AJ15" s="80">
        <v>1</v>
      </c>
    </row>
    <row r="16" spans="1:36" x14ac:dyDescent="0.3">
      <c r="A16" s="4" t="s">
        <v>37</v>
      </c>
      <c r="B16" s="39" t="s">
        <v>155</v>
      </c>
      <c r="C16" s="75" t="s">
        <v>76</v>
      </c>
      <c r="D16" s="76" t="s">
        <v>76</v>
      </c>
      <c r="E16" s="41" t="s">
        <v>83</v>
      </c>
      <c r="F16" s="41" t="s">
        <v>76</v>
      </c>
      <c r="G16" s="10" t="s">
        <v>243</v>
      </c>
      <c r="H16" s="41" t="s">
        <v>76</v>
      </c>
      <c r="I16" s="12" t="s">
        <v>76</v>
      </c>
      <c r="J16" s="40">
        <v>4</v>
      </c>
      <c r="K16" s="42">
        <v>6</v>
      </c>
      <c r="L16" s="12" t="s">
        <v>179</v>
      </c>
      <c r="M16" s="41">
        <v>1</v>
      </c>
      <c r="N16" s="41" t="s">
        <v>76</v>
      </c>
      <c r="O16" s="40">
        <v>7.0000000000000007E-2</v>
      </c>
      <c r="P16" s="42">
        <v>0</v>
      </c>
      <c r="Q16" s="42" t="s">
        <v>76</v>
      </c>
      <c r="R16" s="42" t="s">
        <v>76</v>
      </c>
      <c r="S16" s="12" t="s">
        <v>266</v>
      </c>
      <c r="T16" s="77">
        <v>4.1666666666666664E-2</v>
      </c>
      <c r="U16" s="78">
        <v>44820</v>
      </c>
      <c r="V16" s="79">
        <v>0.375</v>
      </c>
      <c r="W16" s="78">
        <v>44820</v>
      </c>
      <c r="X16" s="79" t="s">
        <v>76</v>
      </c>
      <c r="Y16" s="78" t="s">
        <v>76</v>
      </c>
      <c r="Z16" s="40">
        <v>0.4</v>
      </c>
      <c r="AA16" s="10" t="s">
        <v>70</v>
      </c>
      <c r="AB16" s="41">
        <v>1</v>
      </c>
      <c r="AC16" s="41">
        <v>0</v>
      </c>
      <c r="AD16" s="41">
        <v>0</v>
      </c>
      <c r="AE16" s="41">
        <v>0</v>
      </c>
      <c r="AF16" s="41">
        <v>0</v>
      </c>
      <c r="AG16" s="41" t="s">
        <v>76</v>
      </c>
      <c r="AH16" s="10" t="s">
        <v>2</v>
      </c>
      <c r="AI16" s="12" t="s">
        <v>76</v>
      </c>
      <c r="AJ16" s="80">
        <v>1</v>
      </c>
    </row>
    <row r="17" spans="1:36" x14ac:dyDescent="0.3">
      <c r="A17" s="4" t="s">
        <v>38</v>
      </c>
      <c r="B17" s="39" t="s">
        <v>156</v>
      </c>
      <c r="C17" s="75" t="s">
        <v>76</v>
      </c>
      <c r="D17" s="76" t="s">
        <v>76</v>
      </c>
      <c r="E17" s="41" t="s">
        <v>83</v>
      </c>
      <c r="F17" s="41" t="s">
        <v>76</v>
      </c>
      <c r="G17" s="10" t="s">
        <v>243</v>
      </c>
      <c r="H17" s="41" t="s">
        <v>76</v>
      </c>
      <c r="I17" s="12" t="s">
        <v>76</v>
      </c>
      <c r="J17" s="40" t="s">
        <v>76</v>
      </c>
      <c r="K17" s="42" t="s">
        <v>76</v>
      </c>
      <c r="L17" s="12" t="s">
        <v>180</v>
      </c>
      <c r="M17" s="41">
        <v>1</v>
      </c>
      <c r="N17" s="41" t="s">
        <v>76</v>
      </c>
      <c r="O17" s="40">
        <v>0.05</v>
      </c>
      <c r="P17" s="42">
        <v>0</v>
      </c>
      <c r="Q17" s="42">
        <v>2.7</v>
      </c>
      <c r="R17" s="42" t="s">
        <v>76</v>
      </c>
      <c r="S17" s="12" t="s">
        <v>76</v>
      </c>
      <c r="T17" s="77">
        <v>2.0833333333333332E-2</v>
      </c>
      <c r="U17" s="78">
        <v>44820</v>
      </c>
      <c r="V17" s="79">
        <v>0.41666666666666669</v>
      </c>
      <c r="W17" s="78">
        <v>44820</v>
      </c>
      <c r="X17" s="79" t="s">
        <v>76</v>
      </c>
      <c r="Y17" s="78" t="s">
        <v>76</v>
      </c>
      <c r="Z17" s="40">
        <v>0.4</v>
      </c>
      <c r="AA17" s="10" t="s">
        <v>70</v>
      </c>
      <c r="AB17" s="41">
        <v>1</v>
      </c>
      <c r="AC17" s="41">
        <v>0</v>
      </c>
      <c r="AD17" s="41">
        <v>0</v>
      </c>
      <c r="AE17" s="41">
        <v>0</v>
      </c>
      <c r="AF17" s="41">
        <v>0</v>
      </c>
      <c r="AG17" s="41" t="s">
        <v>76</v>
      </c>
      <c r="AH17" s="10" t="s">
        <v>2</v>
      </c>
      <c r="AI17" s="12" t="s">
        <v>76</v>
      </c>
      <c r="AJ17" s="80">
        <v>1</v>
      </c>
    </row>
    <row r="18" spans="1:36" ht="14.4" customHeight="1" x14ac:dyDescent="0.3">
      <c r="A18" s="4" t="s">
        <v>39</v>
      </c>
      <c r="B18" s="39" t="s">
        <v>157</v>
      </c>
      <c r="C18" s="75">
        <v>43.661549999999998</v>
      </c>
      <c r="D18" s="76">
        <v>13.169021000000001</v>
      </c>
      <c r="E18" s="41" t="s">
        <v>83</v>
      </c>
      <c r="F18" s="41" t="s">
        <v>76</v>
      </c>
      <c r="G18" s="10" t="s">
        <v>244</v>
      </c>
      <c r="H18" s="41" t="s">
        <v>76</v>
      </c>
      <c r="I18" s="12" t="s">
        <v>76</v>
      </c>
      <c r="J18" s="40">
        <v>3</v>
      </c>
      <c r="K18" s="42">
        <v>5</v>
      </c>
      <c r="L18" s="12" t="s">
        <v>76</v>
      </c>
      <c r="M18" s="41">
        <v>1</v>
      </c>
      <c r="N18" s="41" t="s">
        <v>76</v>
      </c>
      <c r="O18" s="40">
        <v>-0.05</v>
      </c>
      <c r="P18" s="42">
        <v>-0.05</v>
      </c>
      <c r="Q18" s="42">
        <v>2.5</v>
      </c>
      <c r="R18" s="42" t="s">
        <v>76</v>
      </c>
      <c r="S18" s="12" t="s">
        <v>76</v>
      </c>
      <c r="T18" s="77" t="s">
        <v>76</v>
      </c>
      <c r="U18" s="78" t="s">
        <v>76</v>
      </c>
      <c r="V18" s="79" t="s">
        <v>76</v>
      </c>
      <c r="W18" s="78" t="s">
        <v>76</v>
      </c>
      <c r="X18" s="79" t="s">
        <v>76</v>
      </c>
      <c r="Y18" s="78" t="s">
        <v>76</v>
      </c>
      <c r="Z18" s="40">
        <v>0.6</v>
      </c>
      <c r="AA18" s="10" t="s">
        <v>70</v>
      </c>
      <c r="AB18" s="41">
        <v>1</v>
      </c>
      <c r="AC18" s="41">
        <v>1</v>
      </c>
      <c r="AD18" s="41">
        <v>1</v>
      </c>
      <c r="AE18" s="41">
        <v>0</v>
      </c>
      <c r="AF18" s="41">
        <v>0</v>
      </c>
      <c r="AG18" s="41" t="s">
        <v>76</v>
      </c>
      <c r="AH18" s="10" t="s">
        <v>2</v>
      </c>
      <c r="AI18" s="12" t="s">
        <v>76</v>
      </c>
      <c r="AJ18" s="80">
        <v>1</v>
      </c>
    </row>
    <row r="19" spans="1:36" x14ac:dyDescent="0.3">
      <c r="A19" s="4" t="s">
        <v>40</v>
      </c>
      <c r="B19" s="39" t="s">
        <v>141</v>
      </c>
      <c r="C19" s="75">
        <v>43.705086000000001</v>
      </c>
      <c r="D19" s="76">
        <v>13.211446</v>
      </c>
      <c r="E19" s="41" t="s">
        <v>83</v>
      </c>
      <c r="F19" s="41" t="s">
        <v>76</v>
      </c>
      <c r="G19" s="10" t="s">
        <v>261</v>
      </c>
      <c r="H19" s="41" t="s">
        <v>76</v>
      </c>
      <c r="I19" s="12" t="s">
        <v>76</v>
      </c>
      <c r="J19" s="40">
        <v>6</v>
      </c>
      <c r="K19" s="42">
        <v>4</v>
      </c>
      <c r="L19" s="12" t="s">
        <v>76</v>
      </c>
      <c r="M19" s="41">
        <v>1</v>
      </c>
      <c r="N19" s="41" t="s">
        <v>76</v>
      </c>
      <c r="O19" s="40">
        <v>0.25</v>
      </c>
      <c r="P19" s="42">
        <v>0</v>
      </c>
      <c r="Q19" s="42">
        <v>0.75</v>
      </c>
      <c r="R19" s="42" t="s">
        <v>76</v>
      </c>
      <c r="S19" s="12" t="s">
        <v>76</v>
      </c>
      <c r="T19" s="77">
        <v>0.16666666666666666</v>
      </c>
      <c r="U19" s="78">
        <v>44820</v>
      </c>
      <c r="V19" s="79" t="s">
        <v>76</v>
      </c>
      <c r="W19" s="78" t="s">
        <v>76</v>
      </c>
      <c r="X19" s="79" t="s">
        <v>76</v>
      </c>
      <c r="Y19" s="78" t="s">
        <v>76</v>
      </c>
      <c r="Z19" s="40">
        <v>0.26</v>
      </c>
      <c r="AA19" s="10" t="s">
        <v>70</v>
      </c>
      <c r="AB19" s="41">
        <v>1</v>
      </c>
      <c r="AC19" s="41">
        <v>0</v>
      </c>
      <c r="AD19" s="41">
        <v>0</v>
      </c>
      <c r="AE19" s="41">
        <v>0</v>
      </c>
      <c r="AF19" s="41">
        <v>0</v>
      </c>
      <c r="AG19" s="41" t="s">
        <v>76</v>
      </c>
      <c r="AH19" s="10" t="s">
        <v>2</v>
      </c>
      <c r="AI19" s="12" t="s">
        <v>76</v>
      </c>
      <c r="AJ19" s="80">
        <v>1</v>
      </c>
    </row>
    <row r="20" spans="1:36" x14ac:dyDescent="0.3">
      <c r="A20" s="4" t="s">
        <v>41</v>
      </c>
      <c r="B20" s="39" t="s">
        <v>142</v>
      </c>
      <c r="C20" s="75">
        <v>43.705607999999998</v>
      </c>
      <c r="D20" s="76">
        <v>13.211892000000001</v>
      </c>
      <c r="E20" s="41" t="s">
        <v>83</v>
      </c>
      <c r="F20" s="41" t="s">
        <v>76</v>
      </c>
      <c r="G20" s="10" t="s">
        <v>261</v>
      </c>
      <c r="H20" s="41" t="s">
        <v>76</v>
      </c>
      <c r="I20" s="12" t="s">
        <v>86</v>
      </c>
      <c r="J20" s="40" t="s">
        <v>76</v>
      </c>
      <c r="K20" s="42" t="s">
        <v>76</v>
      </c>
      <c r="L20" s="12" t="s">
        <v>76</v>
      </c>
      <c r="M20" s="41">
        <v>1</v>
      </c>
      <c r="N20" s="41" t="s">
        <v>76</v>
      </c>
      <c r="O20" s="40">
        <v>0.1</v>
      </c>
      <c r="P20" s="42">
        <v>0</v>
      </c>
      <c r="Q20" s="42">
        <v>2.75</v>
      </c>
      <c r="R20" s="42" t="s">
        <v>76</v>
      </c>
      <c r="S20" s="12" t="s">
        <v>76</v>
      </c>
      <c r="T20" s="77" t="s">
        <v>76</v>
      </c>
      <c r="U20" s="78" t="s">
        <v>76</v>
      </c>
      <c r="V20" s="79" t="s">
        <v>76</v>
      </c>
      <c r="W20" s="78" t="s">
        <v>76</v>
      </c>
      <c r="X20" s="79" t="s">
        <v>76</v>
      </c>
      <c r="Y20" s="78" t="s">
        <v>76</v>
      </c>
      <c r="Z20" s="40">
        <v>0.78</v>
      </c>
      <c r="AA20" s="10" t="s">
        <v>70</v>
      </c>
      <c r="AB20" s="41">
        <v>1</v>
      </c>
      <c r="AC20" s="41">
        <v>0</v>
      </c>
      <c r="AD20" s="41">
        <v>0</v>
      </c>
      <c r="AE20" s="41">
        <v>0</v>
      </c>
      <c r="AF20" s="41">
        <v>0</v>
      </c>
      <c r="AG20" s="41" t="s">
        <v>76</v>
      </c>
      <c r="AH20" s="10" t="s">
        <v>70</v>
      </c>
      <c r="AI20" s="12" t="s">
        <v>92</v>
      </c>
      <c r="AJ20" s="80" t="s">
        <v>76</v>
      </c>
    </row>
    <row r="21" spans="1:36" x14ac:dyDescent="0.3">
      <c r="A21" s="4" t="s">
        <v>42</v>
      </c>
      <c r="B21" s="39" t="s">
        <v>158</v>
      </c>
      <c r="C21" s="75">
        <v>43.626545999999998</v>
      </c>
      <c r="D21" s="76">
        <v>13.131632</v>
      </c>
      <c r="E21" s="41" t="s">
        <v>83</v>
      </c>
      <c r="F21" s="41" t="s">
        <v>76</v>
      </c>
      <c r="G21" s="10" t="s">
        <v>243</v>
      </c>
      <c r="H21" s="41" t="s">
        <v>76</v>
      </c>
      <c r="I21" s="12" t="s">
        <v>76</v>
      </c>
      <c r="J21" s="40" t="s">
        <v>76</v>
      </c>
      <c r="K21" s="42" t="s">
        <v>76</v>
      </c>
      <c r="L21" s="12" t="s">
        <v>76</v>
      </c>
      <c r="M21" s="41">
        <v>1</v>
      </c>
      <c r="N21" s="41" t="s">
        <v>76</v>
      </c>
      <c r="O21" s="40" t="s">
        <v>76</v>
      </c>
      <c r="P21" s="42">
        <v>0</v>
      </c>
      <c r="Q21" s="42">
        <v>2.4</v>
      </c>
      <c r="R21" s="42" t="s">
        <v>76</v>
      </c>
      <c r="S21" s="12" t="s">
        <v>76</v>
      </c>
      <c r="T21" s="77">
        <v>0.88541666666666663</v>
      </c>
      <c r="U21" s="78">
        <v>44819</v>
      </c>
      <c r="V21" s="79">
        <v>0.91666666666666663</v>
      </c>
      <c r="W21" s="78">
        <v>44819</v>
      </c>
      <c r="X21" s="79">
        <v>0.89583333333333337</v>
      </c>
      <c r="Y21" s="78">
        <v>44819</v>
      </c>
      <c r="Z21" s="40">
        <v>0.8</v>
      </c>
      <c r="AA21" s="10" t="s">
        <v>70</v>
      </c>
      <c r="AB21" s="41">
        <v>1</v>
      </c>
      <c r="AC21" s="41">
        <v>0</v>
      </c>
      <c r="AD21" s="41">
        <v>1</v>
      </c>
      <c r="AE21" s="41">
        <v>0</v>
      </c>
      <c r="AF21" s="41">
        <v>0</v>
      </c>
      <c r="AG21" s="41" t="s">
        <v>76</v>
      </c>
      <c r="AH21" s="10" t="s">
        <v>2</v>
      </c>
      <c r="AI21" s="12" t="s">
        <v>76</v>
      </c>
      <c r="AJ21" s="80">
        <v>1</v>
      </c>
    </row>
    <row r="22" spans="1:36" x14ac:dyDescent="0.3">
      <c r="A22" s="4" t="s">
        <v>43</v>
      </c>
      <c r="B22" s="39" t="s">
        <v>159</v>
      </c>
      <c r="C22" s="75">
        <v>43.625055000000003</v>
      </c>
      <c r="D22" s="76">
        <v>13.128534999999999</v>
      </c>
      <c r="E22" s="41" t="s">
        <v>82</v>
      </c>
      <c r="F22" s="41" t="s">
        <v>76</v>
      </c>
      <c r="G22" s="10" t="s">
        <v>243</v>
      </c>
      <c r="H22" s="41" t="s">
        <v>76</v>
      </c>
      <c r="I22" s="12" t="s">
        <v>76</v>
      </c>
      <c r="J22" s="40" t="s">
        <v>76</v>
      </c>
      <c r="K22" s="42" t="s">
        <v>76</v>
      </c>
      <c r="L22" s="12" t="s">
        <v>76</v>
      </c>
      <c r="M22" s="41">
        <v>1</v>
      </c>
      <c r="N22" s="41" t="s">
        <v>76</v>
      </c>
      <c r="O22" s="40">
        <v>-2.2999999999999998</v>
      </c>
      <c r="P22" s="42">
        <v>0</v>
      </c>
      <c r="Q22" s="42">
        <v>4.1500000000000004</v>
      </c>
      <c r="R22" s="42">
        <v>0</v>
      </c>
      <c r="S22" s="12" t="s">
        <v>76</v>
      </c>
      <c r="T22" s="77">
        <v>0.88888888888888884</v>
      </c>
      <c r="U22" s="78">
        <v>44819</v>
      </c>
      <c r="V22" s="79">
        <v>4.1666666666666664E-2</v>
      </c>
      <c r="W22" s="78">
        <v>44819</v>
      </c>
      <c r="X22" s="79">
        <v>0.90277777777777779</v>
      </c>
      <c r="Y22" s="78">
        <v>44819</v>
      </c>
      <c r="Z22" s="40">
        <v>1.6</v>
      </c>
      <c r="AA22" s="10" t="s">
        <v>70</v>
      </c>
      <c r="AB22" s="41">
        <v>1</v>
      </c>
      <c r="AC22" s="41">
        <v>0</v>
      </c>
      <c r="AD22" s="41">
        <v>1</v>
      </c>
      <c r="AE22" s="41">
        <v>0</v>
      </c>
      <c r="AF22" s="41">
        <v>0</v>
      </c>
      <c r="AG22" s="41" t="s">
        <v>76</v>
      </c>
      <c r="AH22" s="10" t="s">
        <v>70</v>
      </c>
      <c r="AI22" s="12" t="s">
        <v>93</v>
      </c>
      <c r="AJ22" s="80">
        <v>1</v>
      </c>
    </row>
    <row r="23" spans="1:36" x14ac:dyDescent="0.3">
      <c r="A23" s="4" t="s">
        <v>44</v>
      </c>
      <c r="B23" s="39" t="s">
        <v>160</v>
      </c>
      <c r="C23" s="75">
        <v>43.623142000000001</v>
      </c>
      <c r="D23" s="76">
        <v>13.124101</v>
      </c>
      <c r="E23" s="41" t="s">
        <v>83</v>
      </c>
      <c r="F23" s="41" t="s">
        <v>76</v>
      </c>
      <c r="G23" s="10" t="s">
        <v>242</v>
      </c>
      <c r="H23" s="41" t="s">
        <v>76</v>
      </c>
      <c r="I23" s="12" t="s">
        <v>76</v>
      </c>
      <c r="J23" s="40">
        <v>3</v>
      </c>
      <c r="K23" s="42">
        <v>10</v>
      </c>
      <c r="L23" s="12" t="s">
        <v>76</v>
      </c>
      <c r="M23" s="41">
        <v>1</v>
      </c>
      <c r="N23" s="41" t="s">
        <v>76</v>
      </c>
      <c r="O23" s="40">
        <v>0.05</v>
      </c>
      <c r="P23" s="42">
        <v>0</v>
      </c>
      <c r="Q23" s="42">
        <v>2.5</v>
      </c>
      <c r="R23" s="42" t="s">
        <v>76</v>
      </c>
      <c r="S23" s="12" t="s">
        <v>76</v>
      </c>
      <c r="T23" s="77">
        <v>0.85416666666666663</v>
      </c>
      <c r="U23" s="78">
        <v>44819</v>
      </c>
      <c r="V23" s="79" t="s">
        <v>76</v>
      </c>
      <c r="W23" s="78" t="s">
        <v>76</v>
      </c>
      <c r="X23" s="79" t="s">
        <v>76</v>
      </c>
      <c r="Y23" s="78" t="s">
        <v>76</v>
      </c>
      <c r="Z23" s="40">
        <v>0.67</v>
      </c>
      <c r="AA23" s="10" t="s">
        <v>70</v>
      </c>
      <c r="AB23" s="41">
        <v>1</v>
      </c>
      <c r="AC23" s="41">
        <v>0</v>
      </c>
      <c r="AD23" s="41">
        <v>0</v>
      </c>
      <c r="AE23" s="41">
        <v>0</v>
      </c>
      <c r="AF23" s="41">
        <v>0</v>
      </c>
      <c r="AG23" s="41" t="s">
        <v>76</v>
      </c>
      <c r="AH23" s="10" t="s">
        <v>76</v>
      </c>
      <c r="AI23" s="12" t="s">
        <v>76</v>
      </c>
      <c r="AJ23" s="80" t="s">
        <v>76</v>
      </c>
    </row>
    <row r="24" spans="1:36" x14ac:dyDescent="0.3">
      <c r="A24" s="4" t="s">
        <v>45</v>
      </c>
      <c r="B24" s="39" t="s">
        <v>161</v>
      </c>
      <c r="C24" s="75">
        <v>43.624419000000003</v>
      </c>
      <c r="D24" s="76">
        <v>13.12908</v>
      </c>
      <c r="E24" s="41" t="s">
        <v>83</v>
      </c>
      <c r="F24" s="41" t="s">
        <v>76</v>
      </c>
      <c r="G24" s="10" t="s">
        <v>245</v>
      </c>
      <c r="H24" s="41" t="s">
        <v>238</v>
      </c>
      <c r="I24" s="12" t="s">
        <v>76</v>
      </c>
      <c r="J24" s="40" t="s">
        <v>76</v>
      </c>
      <c r="K24" s="42" t="s">
        <v>76</v>
      </c>
      <c r="L24" s="12" t="s">
        <v>76</v>
      </c>
      <c r="M24" s="41">
        <v>1</v>
      </c>
      <c r="N24" s="41" t="s">
        <v>76</v>
      </c>
      <c r="O24" s="40">
        <v>-0.5</v>
      </c>
      <c r="P24" s="42">
        <v>0</v>
      </c>
      <c r="Q24" s="42">
        <v>2.0499999999999998</v>
      </c>
      <c r="R24" s="42" t="s">
        <v>76</v>
      </c>
      <c r="S24" s="12" t="s">
        <v>76</v>
      </c>
      <c r="T24" s="77">
        <v>0.875</v>
      </c>
      <c r="U24" s="78">
        <v>44819</v>
      </c>
      <c r="V24" s="79">
        <v>0.92708333333333337</v>
      </c>
      <c r="W24" s="78">
        <v>44819</v>
      </c>
      <c r="X24" s="79" t="s">
        <v>76</v>
      </c>
      <c r="Y24" s="78" t="s">
        <v>76</v>
      </c>
      <c r="Z24" s="40">
        <v>1.65</v>
      </c>
      <c r="AA24" s="10" t="s">
        <v>70</v>
      </c>
      <c r="AB24" s="41">
        <v>1</v>
      </c>
      <c r="AC24" s="41">
        <v>0</v>
      </c>
      <c r="AD24" s="41">
        <v>0</v>
      </c>
      <c r="AE24" s="41">
        <v>0</v>
      </c>
      <c r="AF24" s="41">
        <v>0</v>
      </c>
      <c r="AG24" s="41" t="s">
        <v>76</v>
      </c>
      <c r="AH24" s="10" t="s">
        <v>2</v>
      </c>
      <c r="AI24" s="12" t="s">
        <v>76</v>
      </c>
      <c r="AJ24" s="80">
        <v>1</v>
      </c>
    </row>
    <row r="25" spans="1:36" x14ac:dyDescent="0.3">
      <c r="A25" s="4" t="s">
        <v>46</v>
      </c>
      <c r="B25" s="39" t="s">
        <v>162</v>
      </c>
      <c r="C25" s="75">
        <v>43.704645999999997</v>
      </c>
      <c r="D25" s="76">
        <v>13.210940000000001</v>
      </c>
      <c r="E25" s="41" t="s">
        <v>76</v>
      </c>
      <c r="F25" s="41" t="s">
        <v>76</v>
      </c>
      <c r="G25" s="10" t="s">
        <v>76</v>
      </c>
      <c r="H25" s="41" t="s">
        <v>76</v>
      </c>
      <c r="I25" s="12" t="s">
        <v>76</v>
      </c>
      <c r="J25" s="40" t="s">
        <v>76</v>
      </c>
      <c r="K25" s="42" t="s">
        <v>76</v>
      </c>
      <c r="L25" s="12" t="s">
        <v>76</v>
      </c>
      <c r="M25" s="41" t="s">
        <v>76</v>
      </c>
      <c r="N25" s="41" t="s">
        <v>76</v>
      </c>
      <c r="O25" s="40" t="s">
        <v>76</v>
      </c>
      <c r="P25" s="42" t="s">
        <v>76</v>
      </c>
      <c r="Q25" s="42" t="s">
        <v>76</v>
      </c>
      <c r="R25" s="42" t="s">
        <v>76</v>
      </c>
      <c r="S25" s="12" t="s">
        <v>187</v>
      </c>
      <c r="T25" s="77">
        <v>0.94791666666666663</v>
      </c>
      <c r="U25" s="78">
        <v>44819</v>
      </c>
      <c r="V25" s="79" t="s">
        <v>76</v>
      </c>
      <c r="W25" s="78" t="s">
        <v>76</v>
      </c>
      <c r="X25" s="79" t="s">
        <v>76</v>
      </c>
      <c r="Y25" s="78" t="s">
        <v>76</v>
      </c>
      <c r="Z25" s="40" t="s">
        <v>76</v>
      </c>
      <c r="AA25" s="10" t="s">
        <v>70</v>
      </c>
      <c r="AB25" s="41">
        <v>1</v>
      </c>
      <c r="AC25" s="41">
        <v>0</v>
      </c>
      <c r="AD25" s="41">
        <v>0</v>
      </c>
      <c r="AE25" s="41">
        <v>0</v>
      </c>
      <c r="AF25" s="41">
        <v>0</v>
      </c>
      <c r="AG25" s="41" t="s">
        <v>76</v>
      </c>
      <c r="AH25" s="10" t="s">
        <v>2</v>
      </c>
      <c r="AI25" s="12" t="s">
        <v>76</v>
      </c>
      <c r="AJ25" s="80">
        <v>1</v>
      </c>
    </row>
    <row r="26" spans="1:36" x14ac:dyDescent="0.3">
      <c r="A26" s="4" t="s">
        <v>47</v>
      </c>
      <c r="B26" s="39" t="s">
        <v>163</v>
      </c>
      <c r="C26" s="75">
        <v>43.705077000000003</v>
      </c>
      <c r="D26" s="76">
        <v>13.212230999999999</v>
      </c>
      <c r="E26" s="41" t="s">
        <v>82</v>
      </c>
      <c r="F26" s="41" t="s">
        <v>76</v>
      </c>
      <c r="G26" s="10" t="s">
        <v>243</v>
      </c>
      <c r="H26" s="41" t="s">
        <v>76</v>
      </c>
      <c r="I26" s="12" t="s">
        <v>76</v>
      </c>
      <c r="J26" s="40" t="s">
        <v>76</v>
      </c>
      <c r="K26" s="42" t="s">
        <v>76</v>
      </c>
      <c r="L26" s="12" t="s">
        <v>76</v>
      </c>
      <c r="M26" s="41" t="s">
        <v>76</v>
      </c>
      <c r="N26" s="41" t="s">
        <v>76</v>
      </c>
      <c r="O26" s="40">
        <v>-0.05</v>
      </c>
      <c r="P26" s="42">
        <v>0.2</v>
      </c>
      <c r="Q26" s="42" t="s">
        <v>76</v>
      </c>
      <c r="R26" s="42" t="s">
        <v>76</v>
      </c>
      <c r="S26" s="12" t="s">
        <v>186</v>
      </c>
      <c r="T26" s="77" t="s">
        <v>76</v>
      </c>
      <c r="U26" s="78" t="s">
        <v>76</v>
      </c>
      <c r="V26" s="79" t="s">
        <v>76</v>
      </c>
      <c r="W26" s="78" t="s">
        <v>76</v>
      </c>
      <c r="X26" s="79" t="s">
        <v>76</v>
      </c>
      <c r="Y26" s="78" t="s">
        <v>76</v>
      </c>
      <c r="Z26" s="40">
        <v>0.8</v>
      </c>
      <c r="AA26" s="10" t="s">
        <v>70</v>
      </c>
      <c r="AB26" s="41">
        <v>1</v>
      </c>
      <c r="AC26" s="41">
        <v>0</v>
      </c>
      <c r="AD26" s="41">
        <v>0</v>
      </c>
      <c r="AE26" s="41">
        <v>0</v>
      </c>
      <c r="AF26" s="41">
        <v>0</v>
      </c>
      <c r="AG26" s="41" t="s">
        <v>76</v>
      </c>
      <c r="AH26" s="10" t="s">
        <v>2</v>
      </c>
      <c r="AI26" s="12" t="s">
        <v>76</v>
      </c>
      <c r="AJ26" s="80">
        <v>1</v>
      </c>
    </row>
    <row r="27" spans="1:36" x14ac:dyDescent="0.3">
      <c r="A27" s="4" t="s">
        <v>48</v>
      </c>
      <c r="B27" s="39" t="s">
        <v>143</v>
      </c>
      <c r="C27" s="75">
        <v>43.716889999999999</v>
      </c>
      <c r="D27" s="76">
        <v>13.215768000000001</v>
      </c>
      <c r="E27" s="41" t="s">
        <v>71</v>
      </c>
      <c r="F27" s="41" t="s">
        <v>76</v>
      </c>
      <c r="G27" s="10" t="s">
        <v>243</v>
      </c>
      <c r="H27" s="41" t="s">
        <v>76</v>
      </c>
      <c r="I27" s="12" t="s">
        <v>76</v>
      </c>
      <c r="J27" s="40">
        <v>9.5</v>
      </c>
      <c r="K27" s="42">
        <v>8.1999999999999993</v>
      </c>
      <c r="L27" s="12" t="s">
        <v>76</v>
      </c>
      <c r="M27" s="41">
        <v>1</v>
      </c>
      <c r="N27" s="41" t="s">
        <v>76</v>
      </c>
      <c r="O27" s="40">
        <v>-0.1</v>
      </c>
      <c r="P27" s="42">
        <v>0</v>
      </c>
      <c r="Q27" s="42" t="s">
        <v>76</v>
      </c>
      <c r="R27" s="42" t="s">
        <v>76</v>
      </c>
      <c r="S27" s="12" t="s">
        <v>186</v>
      </c>
      <c r="T27" s="77" t="s">
        <v>76</v>
      </c>
      <c r="U27" s="78" t="s">
        <v>76</v>
      </c>
      <c r="V27" s="79" t="s">
        <v>76</v>
      </c>
      <c r="W27" s="78" t="s">
        <v>76</v>
      </c>
      <c r="X27" s="79" t="s">
        <v>76</v>
      </c>
      <c r="Y27" s="78" t="s">
        <v>76</v>
      </c>
      <c r="Z27" s="40">
        <v>0.4</v>
      </c>
      <c r="AA27" s="10" t="s">
        <v>70</v>
      </c>
      <c r="AB27" s="41">
        <v>1</v>
      </c>
      <c r="AC27" s="41">
        <v>0</v>
      </c>
      <c r="AD27" s="41">
        <v>0</v>
      </c>
      <c r="AE27" s="41">
        <v>0</v>
      </c>
      <c r="AF27" s="41">
        <v>0</v>
      </c>
      <c r="AG27" s="41" t="s">
        <v>76</v>
      </c>
      <c r="AH27" s="10" t="s">
        <v>2</v>
      </c>
      <c r="AI27" s="12" t="s">
        <v>76</v>
      </c>
      <c r="AJ27" s="80">
        <v>1</v>
      </c>
    </row>
    <row r="28" spans="1:36" x14ac:dyDescent="0.3">
      <c r="A28" s="4" t="s">
        <v>49</v>
      </c>
      <c r="B28" s="39" t="s">
        <v>164</v>
      </c>
      <c r="C28" s="75">
        <v>43.625214</v>
      </c>
      <c r="D28" s="76">
        <v>13.129441999999999</v>
      </c>
      <c r="E28" s="41" t="s">
        <v>83</v>
      </c>
      <c r="F28" s="41" t="s">
        <v>76</v>
      </c>
      <c r="G28" s="10" t="s">
        <v>261</v>
      </c>
      <c r="H28" s="41" t="s">
        <v>76</v>
      </c>
      <c r="I28" s="12" t="s">
        <v>76</v>
      </c>
      <c r="J28" s="40">
        <v>7</v>
      </c>
      <c r="K28" s="42">
        <v>10</v>
      </c>
      <c r="L28" s="12" t="s">
        <v>76</v>
      </c>
      <c r="M28" s="41">
        <v>1</v>
      </c>
      <c r="N28" s="41" t="s">
        <v>76</v>
      </c>
      <c r="O28" s="40">
        <v>0.01</v>
      </c>
      <c r="P28" s="42">
        <v>0</v>
      </c>
      <c r="Q28" s="42">
        <v>3</v>
      </c>
      <c r="R28" s="42" t="s">
        <v>76</v>
      </c>
      <c r="S28" s="12" t="s">
        <v>76</v>
      </c>
      <c r="T28" s="77">
        <v>0.88541666666666663</v>
      </c>
      <c r="U28" s="78">
        <v>44819</v>
      </c>
      <c r="V28" s="79">
        <v>0.42708333333333331</v>
      </c>
      <c r="W28" s="78">
        <v>44819</v>
      </c>
      <c r="X28" s="79">
        <v>0.89583333333333337</v>
      </c>
      <c r="Y28" s="78">
        <v>44819</v>
      </c>
      <c r="Z28" s="40">
        <v>1</v>
      </c>
      <c r="AA28" s="10" t="s">
        <v>70</v>
      </c>
      <c r="AB28" s="41">
        <v>1</v>
      </c>
      <c r="AC28" s="41">
        <v>1</v>
      </c>
      <c r="AD28" s="41">
        <v>0</v>
      </c>
      <c r="AE28" s="41">
        <v>0</v>
      </c>
      <c r="AF28" s="41">
        <v>0</v>
      </c>
      <c r="AG28" s="41" t="s">
        <v>76</v>
      </c>
      <c r="AH28" s="10" t="s">
        <v>2</v>
      </c>
      <c r="AI28" s="12" t="s">
        <v>76</v>
      </c>
      <c r="AJ28" s="80">
        <v>1</v>
      </c>
    </row>
    <row r="29" spans="1:36" x14ac:dyDescent="0.3">
      <c r="A29" s="4" t="s">
        <v>50</v>
      </c>
      <c r="B29" s="39" t="s">
        <v>165</v>
      </c>
      <c r="C29" s="75">
        <v>43.648792</v>
      </c>
      <c r="D29" s="76">
        <v>13.142170999999999</v>
      </c>
      <c r="E29" s="41" t="s">
        <v>82</v>
      </c>
      <c r="F29" s="41" t="s">
        <v>76</v>
      </c>
      <c r="G29" s="10" t="s">
        <v>242</v>
      </c>
      <c r="H29" s="41" t="s">
        <v>76</v>
      </c>
      <c r="I29" s="12" t="s">
        <v>239</v>
      </c>
      <c r="J29" s="40">
        <v>6</v>
      </c>
      <c r="K29" s="42">
        <v>10</v>
      </c>
      <c r="L29" s="12" t="s">
        <v>76</v>
      </c>
      <c r="M29" s="41">
        <v>1</v>
      </c>
      <c r="N29" s="41" t="s">
        <v>76</v>
      </c>
      <c r="O29" s="40">
        <v>0</v>
      </c>
      <c r="P29" s="42">
        <v>0</v>
      </c>
      <c r="Q29" s="42">
        <v>2.5</v>
      </c>
      <c r="R29" s="42" t="s">
        <v>76</v>
      </c>
      <c r="S29" s="12" t="s">
        <v>76</v>
      </c>
      <c r="T29" s="77">
        <v>0.92361111111111116</v>
      </c>
      <c r="U29" s="78">
        <v>44819</v>
      </c>
      <c r="V29" s="79" t="s">
        <v>76</v>
      </c>
      <c r="W29" s="78" t="s">
        <v>76</v>
      </c>
      <c r="X29" s="79">
        <v>0.92708333333333337</v>
      </c>
      <c r="Y29" s="78">
        <v>44819</v>
      </c>
      <c r="Z29" s="40">
        <v>1.38</v>
      </c>
      <c r="AA29" s="10" t="s">
        <v>70</v>
      </c>
      <c r="AB29" s="41">
        <v>1</v>
      </c>
      <c r="AC29" s="41">
        <v>1</v>
      </c>
      <c r="AD29" s="41">
        <v>0</v>
      </c>
      <c r="AE29" s="41">
        <v>0</v>
      </c>
      <c r="AF29" s="41">
        <v>0</v>
      </c>
      <c r="AG29" s="41" t="s">
        <v>76</v>
      </c>
      <c r="AH29" s="10" t="s">
        <v>2</v>
      </c>
      <c r="AI29" s="12" t="s">
        <v>76</v>
      </c>
      <c r="AJ29" s="80">
        <v>1</v>
      </c>
    </row>
    <row r="30" spans="1:36" x14ac:dyDescent="0.3">
      <c r="A30" s="4" t="s">
        <v>51</v>
      </c>
      <c r="B30" s="39" t="s">
        <v>144</v>
      </c>
      <c r="C30" s="75">
        <v>43.624088</v>
      </c>
      <c r="D30" s="76">
        <v>13.126049999999999</v>
      </c>
      <c r="E30" s="41" t="s">
        <v>83</v>
      </c>
      <c r="F30" s="41" t="s">
        <v>76</v>
      </c>
      <c r="G30" s="10" t="s">
        <v>243</v>
      </c>
      <c r="H30" s="41" t="s">
        <v>76</v>
      </c>
      <c r="I30" s="12" t="s">
        <v>76</v>
      </c>
      <c r="J30" s="40">
        <v>5.5</v>
      </c>
      <c r="K30" s="42">
        <v>3.85</v>
      </c>
      <c r="L30" s="12" t="s">
        <v>76</v>
      </c>
      <c r="M30" s="41">
        <v>1</v>
      </c>
      <c r="N30" s="41" t="s">
        <v>76</v>
      </c>
      <c r="O30" s="40">
        <v>-0.8</v>
      </c>
      <c r="P30" s="42">
        <v>-7.0000000000000007E-2</v>
      </c>
      <c r="Q30" s="42">
        <v>2.6</v>
      </c>
      <c r="R30" s="42" t="s">
        <v>76</v>
      </c>
      <c r="S30" s="12" t="s">
        <v>267</v>
      </c>
      <c r="T30" s="77">
        <v>0.88541666666666663</v>
      </c>
      <c r="U30" s="78">
        <v>44819</v>
      </c>
      <c r="V30" s="79" t="s">
        <v>76</v>
      </c>
      <c r="W30" s="78" t="s">
        <v>76</v>
      </c>
      <c r="X30" s="79" t="s">
        <v>76</v>
      </c>
      <c r="Y30" s="78" t="s">
        <v>76</v>
      </c>
      <c r="Z30" s="40">
        <v>2.7</v>
      </c>
      <c r="AA30" s="10" t="s">
        <v>70</v>
      </c>
      <c r="AB30" s="41">
        <v>1</v>
      </c>
      <c r="AC30" s="41">
        <v>1</v>
      </c>
      <c r="AD30" s="41">
        <v>0</v>
      </c>
      <c r="AE30" s="41">
        <v>0</v>
      </c>
      <c r="AF30" s="41">
        <v>0</v>
      </c>
      <c r="AG30" s="41" t="s">
        <v>76</v>
      </c>
      <c r="AH30" s="10" t="s">
        <v>2</v>
      </c>
      <c r="AI30" s="12" t="s">
        <v>76</v>
      </c>
      <c r="AJ30" s="80">
        <v>1</v>
      </c>
    </row>
    <row r="31" spans="1:36" x14ac:dyDescent="0.3">
      <c r="A31" s="4" t="s">
        <v>52</v>
      </c>
      <c r="B31" s="39" t="s">
        <v>145</v>
      </c>
      <c r="C31" s="75">
        <v>43.650716000000003</v>
      </c>
      <c r="D31" s="76">
        <v>13.122650999999999</v>
      </c>
      <c r="E31" s="41" t="s">
        <v>83</v>
      </c>
      <c r="F31" s="41" t="s">
        <v>76</v>
      </c>
      <c r="G31" s="10" t="s">
        <v>245</v>
      </c>
      <c r="H31" s="41" t="s">
        <v>240</v>
      </c>
      <c r="I31" s="12" t="s">
        <v>76</v>
      </c>
      <c r="J31" s="40">
        <v>6.2</v>
      </c>
      <c r="K31" s="42">
        <v>8.6999999999999993</v>
      </c>
      <c r="L31" s="12" t="s">
        <v>76</v>
      </c>
      <c r="M31" s="41">
        <v>1</v>
      </c>
      <c r="N31" s="41" t="s">
        <v>76</v>
      </c>
      <c r="O31" s="40">
        <v>0</v>
      </c>
      <c r="P31" s="42">
        <v>0.05</v>
      </c>
      <c r="Q31" s="42">
        <v>2.5</v>
      </c>
      <c r="R31" s="42" t="s">
        <v>76</v>
      </c>
      <c r="S31" s="12" t="s">
        <v>76</v>
      </c>
      <c r="T31" s="77">
        <v>0.875</v>
      </c>
      <c r="U31" s="78">
        <v>44819</v>
      </c>
      <c r="V31" s="79">
        <v>0.875</v>
      </c>
      <c r="W31" s="78">
        <v>44820</v>
      </c>
      <c r="X31" s="79">
        <v>0.95833333333333337</v>
      </c>
      <c r="Y31" s="78">
        <v>44819</v>
      </c>
      <c r="Z31" s="40">
        <v>0.9</v>
      </c>
      <c r="AA31" s="10" t="s">
        <v>70</v>
      </c>
      <c r="AB31" s="41">
        <v>1</v>
      </c>
      <c r="AC31" s="41">
        <v>0</v>
      </c>
      <c r="AD31" s="41">
        <v>1</v>
      </c>
      <c r="AE31" s="41">
        <v>0</v>
      </c>
      <c r="AF31" s="41">
        <v>0</v>
      </c>
      <c r="AG31" s="41" t="s">
        <v>76</v>
      </c>
      <c r="AH31" s="10" t="s">
        <v>2</v>
      </c>
      <c r="AI31" s="12" t="s">
        <v>76</v>
      </c>
      <c r="AJ31" s="80">
        <v>1</v>
      </c>
    </row>
    <row r="32" spans="1:36" x14ac:dyDescent="0.3">
      <c r="A32" s="4" t="s">
        <v>53</v>
      </c>
      <c r="B32" s="39" t="s">
        <v>166</v>
      </c>
      <c r="C32" s="75">
        <v>43.623766000000003</v>
      </c>
      <c r="D32" s="76">
        <v>13.129557</v>
      </c>
      <c r="E32" s="41" t="s">
        <v>83</v>
      </c>
      <c r="F32" s="41" t="s">
        <v>76</v>
      </c>
      <c r="G32" s="10" t="s">
        <v>246</v>
      </c>
      <c r="H32" s="41" t="s">
        <v>76</v>
      </c>
      <c r="I32" s="12" t="s">
        <v>76</v>
      </c>
      <c r="J32" s="40" t="s">
        <v>76</v>
      </c>
      <c r="K32" s="42" t="s">
        <v>76</v>
      </c>
      <c r="L32" s="12" t="s">
        <v>77</v>
      </c>
      <c r="M32" s="41">
        <v>1</v>
      </c>
      <c r="N32" s="41" t="s">
        <v>76</v>
      </c>
      <c r="O32" s="40">
        <v>0.4</v>
      </c>
      <c r="P32" s="42" t="s">
        <v>76</v>
      </c>
      <c r="Q32" s="42">
        <v>3</v>
      </c>
      <c r="R32" s="42" t="s">
        <v>76</v>
      </c>
      <c r="S32" s="12" t="s">
        <v>177</v>
      </c>
      <c r="T32" s="77">
        <v>0.89583333333333337</v>
      </c>
      <c r="U32" s="78">
        <v>44819</v>
      </c>
      <c r="V32" s="79">
        <v>0.97916666666666663</v>
      </c>
      <c r="W32" s="78">
        <v>44819</v>
      </c>
      <c r="X32" s="79">
        <v>0.90277777777777779</v>
      </c>
      <c r="Y32" s="78">
        <v>44819</v>
      </c>
      <c r="Z32" s="40">
        <v>1.55</v>
      </c>
      <c r="AA32" s="10" t="s">
        <v>70</v>
      </c>
      <c r="AB32" s="41">
        <v>1</v>
      </c>
      <c r="AC32" s="41">
        <v>0</v>
      </c>
      <c r="AD32" s="41">
        <v>1</v>
      </c>
      <c r="AE32" s="41">
        <v>1</v>
      </c>
      <c r="AF32" s="41">
        <v>0</v>
      </c>
      <c r="AG32" s="41" t="s">
        <v>76</v>
      </c>
      <c r="AH32" s="10" t="s">
        <v>2</v>
      </c>
      <c r="AI32" s="12" t="s">
        <v>76</v>
      </c>
      <c r="AJ32" s="80">
        <v>1</v>
      </c>
    </row>
    <row r="33" spans="1:36" x14ac:dyDescent="0.3">
      <c r="A33" s="4" t="s">
        <v>54</v>
      </c>
      <c r="B33" s="39" t="s">
        <v>146</v>
      </c>
      <c r="C33" s="75">
        <v>43.652144999999997</v>
      </c>
      <c r="D33" s="76">
        <v>13.118283999999999</v>
      </c>
      <c r="E33" s="41" t="s">
        <v>83</v>
      </c>
      <c r="F33" s="41" t="s">
        <v>76</v>
      </c>
      <c r="G33" s="10" t="s">
        <v>244</v>
      </c>
      <c r="H33" s="41" t="s">
        <v>76</v>
      </c>
      <c r="I33" s="12" t="s">
        <v>76</v>
      </c>
      <c r="J33" s="40">
        <v>10</v>
      </c>
      <c r="K33" s="42">
        <v>18</v>
      </c>
      <c r="L33" s="12" t="s">
        <v>76</v>
      </c>
      <c r="M33" s="41">
        <v>1</v>
      </c>
      <c r="N33" s="41" t="s">
        <v>76</v>
      </c>
      <c r="O33" s="40">
        <v>-0.15</v>
      </c>
      <c r="P33" s="42">
        <v>0</v>
      </c>
      <c r="Q33" s="42">
        <v>3</v>
      </c>
      <c r="R33" s="42" t="s">
        <v>76</v>
      </c>
      <c r="S33" s="12" t="s">
        <v>76</v>
      </c>
      <c r="T33" s="77">
        <v>0.89583333333333337</v>
      </c>
      <c r="U33" s="78">
        <v>44819</v>
      </c>
      <c r="V33" s="79" t="s">
        <v>76</v>
      </c>
      <c r="W33" s="78" t="s">
        <v>76</v>
      </c>
      <c r="X33" s="79">
        <v>2.0833333333333332E-2</v>
      </c>
      <c r="Y33" s="78">
        <v>44820</v>
      </c>
      <c r="Z33" s="40">
        <v>2.4500000000000002</v>
      </c>
      <c r="AA33" s="10" t="s">
        <v>70</v>
      </c>
      <c r="AB33" s="41">
        <v>1</v>
      </c>
      <c r="AC33" s="41">
        <v>0</v>
      </c>
      <c r="AD33" s="41">
        <v>1</v>
      </c>
      <c r="AE33" s="41">
        <v>0</v>
      </c>
      <c r="AF33" s="41">
        <v>0</v>
      </c>
      <c r="AG33" s="41" t="s">
        <v>76</v>
      </c>
      <c r="AH33" s="10" t="s">
        <v>2</v>
      </c>
      <c r="AI33" s="12" t="s">
        <v>76</v>
      </c>
      <c r="AJ33" s="80">
        <v>1</v>
      </c>
    </row>
    <row r="34" spans="1:36" x14ac:dyDescent="0.3">
      <c r="A34" s="4" t="s">
        <v>55</v>
      </c>
      <c r="B34" s="39" t="s">
        <v>167</v>
      </c>
      <c r="C34" s="75" t="s">
        <v>76</v>
      </c>
      <c r="D34" s="76" t="s">
        <v>76</v>
      </c>
      <c r="E34" s="41" t="s">
        <v>83</v>
      </c>
      <c r="F34" s="41" t="s">
        <v>76</v>
      </c>
      <c r="G34" s="10" t="s">
        <v>261</v>
      </c>
      <c r="H34" s="41" t="s">
        <v>76</v>
      </c>
      <c r="I34" s="12" t="s">
        <v>76</v>
      </c>
      <c r="J34" s="40" t="s">
        <v>76</v>
      </c>
      <c r="K34" s="42" t="s">
        <v>76</v>
      </c>
      <c r="L34" s="12" t="s">
        <v>74</v>
      </c>
      <c r="M34" s="41">
        <v>1</v>
      </c>
      <c r="N34" s="41" t="s">
        <v>76</v>
      </c>
      <c r="O34" s="40">
        <v>0.05</v>
      </c>
      <c r="P34" s="42" t="s">
        <v>76</v>
      </c>
      <c r="Q34" s="42">
        <v>2.4</v>
      </c>
      <c r="R34" s="42" t="s">
        <v>76</v>
      </c>
      <c r="S34" s="12" t="s">
        <v>76</v>
      </c>
      <c r="T34" s="77">
        <v>0.88541666666666663</v>
      </c>
      <c r="U34" s="78">
        <v>44819</v>
      </c>
      <c r="V34" s="79">
        <v>0.95833333333333337</v>
      </c>
      <c r="W34" s="78">
        <v>44819</v>
      </c>
      <c r="X34" s="79" t="s">
        <v>76</v>
      </c>
      <c r="Y34" s="78" t="s">
        <v>76</v>
      </c>
      <c r="Z34" s="40">
        <v>1</v>
      </c>
      <c r="AA34" s="10" t="s">
        <v>70</v>
      </c>
      <c r="AB34" s="41">
        <v>1</v>
      </c>
      <c r="AC34" s="41">
        <v>1</v>
      </c>
      <c r="AD34" s="41">
        <v>0</v>
      </c>
      <c r="AE34" s="41">
        <v>0</v>
      </c>
      <c r="AF34" s="41">
        <v>0</v>
      </c>
      <c r="AG34" s="41" t="s">
        <v>76</v>
      </c>
      <c r="AH34" s="10" t="s">
        <v>2</v>
      </c>
      <c r="AI34" s="12" t="s">
        <v>76</v>
      </c>
      <c r="AJ34" s="80" t="s">
        <v>76</v>
      </c>
    </row>
    <row r="35" spans="1:36" x14ac:dyDescent="0.3">
      <c r="A35" s="4" t="s">
        <v>56</v>
      </c>
      <c r="B35" s="39" t="s">
        <v>168</v>
      </c>
      <c r="C35" s="75" t="s">
        <v>76</v>
      </c>
      <c r="D35" s="76" t="s">
        <v>76</v>
      </c>
      <c r="E35" s="41" t="s">
        <v>76</v>
      </c>
      <c r="F35" s="41" t="s">
        <v>76</v>
      </c>
      <c r="G35" s="10" t="s">
        <v>76</v>
      </c>
      <c r="H35" s="41" t="s">
        <v>76</v>
      </c>
      <c r="I35" s="12" t="s">
        <v>76</v>
      </c>
      <c r="J35" s="40" t="s">
        <v>76</v>
      </c>
      <c r="K35" s="42" t="s">
        <v>76</v>
      </c>
      <c r="L35" s="12" t="s">
        <v>76</v>
      </c>
      <c r="M35" s="41" t="s">
        <v>76</v>
      </c>
      <c r="N35" s="41" t="s">
        <v>76</v>
      </c>
      <c r="O35" s="40" t="s">
        <v>76</v>
      </c>
      <c r="P35" s="42" t="s">
        <v>76</v>
      </c>
      <c r="Q35" s="42" t="s">
        <v>76</v>
      </c>
      <c r="R35" s="42" t="s">
        <v>76</v>
      </c>
      <c r="S35" s="12" t="s">
        <v>76</v>
      </c>
      <c r="T35" s="77">
        <v>0.86458333333333337</v>
      </c>
      <c r="U35" s="78">
        <v>44819</v>
      </c>
      <c r="V35" s="79">
        <v>8.3333333333333329E-2</v>
      </c>
      <c r="W35" s="78">
        <v>44820</v>
      </c>
      <c r="X35" s="79" t="s">
        <v>76</v>
      </c>
      <c r="Y35" s="78" t="s">
        <v>76</v>
      </c>
      <c r="Z35" s="40" t="s">
        <v>76</v>
      </c>
      <c r="AA35" s="10" t="s">
        <v>70</v>
      </c>
      <c r="AB35" s="41">
        <v>1</v>
      </c>
      <c r="AC35" s="41">
        <v>1</v>
      </c>
      <c r="AD35" s="41">
        <v>1</v>
      </c>
      <c r="AE35" s="41">
        <v>0</v>
      </c>
      <c r="AF35" s="41">
        <v>0</v>
      </c>
      <c r="AG35" s="41" t="s">
        <v>76</v>
      </c>
      <c r="AH35" s="10" t="s">
        <v>2</v>
      </c>
      <c r="AI35" s="12" t="s">
        <v>76</v>
      </c>
      <c r="AJ35" s="80" t="s">
        <v>76</v>
      </c>
    </row>
    <row r="36" spans="1:36" x14ac:dyDescent="0.3">
      <c r="A36" s="4" t="s">
        <v>57</v>
      </c>
      <c r="B36" s="39" t="s">
        <v>169</v>
      </c>
      <c r="C36" s="75">
        <v>43.719678000000002</v>
      </c>
      <c r="D36" s="76">
        <v>13.215960000000001</v>
      </c>
      <c r="E36" s="41" t="s">
        <v>83</v>
      </c>
      <c r="F36" s="41" t="s">
        <v>76</v>
      </c>
      <c r="G36" s="10" t="s">
        <v>243</v>
      </c>
      <c r="H36" s="41" t="s">
        <v>76</v>
      </c>
      <c r="I36" s="12" t="s">
        <v>76</v>
      </c>
      <c r="J36" s="40" t="s">
        <v>76</v>
      </c>
      <c r="K36" s="42" t="s">
        <v>76</v>
      </c>
      <c r="L36" s="12" t="s">
        <v>182</v>
      </c>
      <c r="M36" s="41">
        <v>1</v>
      </c>
      <c r="N36" s="41" t="s">
        <v>76</v>
      </c>
      <c r="O36" s="40">
        <v>0</v>
      </c>
      <c r="P36" s="42">
        <v>0.03</v>
      </c>
      <c r="Q36" s="42">
        <v>2.5</v>
      </c>
      <c r="R36" s="42" t="s">
        <v>76</v>
      </c>
      <c r="S36" s="12" t="s">
        <v>76</v>
      </c>
      <c r="T36" s="77">
        <v>0.91666666666666663</v>
      </c>
      <c r="U36" s="78">
        <v>44819</v>
      </c>
      <c r="V36" s="79">
        <v>0.375</v>
      </c>
      <c r="W36" s="78">
        <v>44820</v>
      </c>
      <c r="X36" s="79" t="s">
        <v>76</v>
      </c>
      <c r="Y36" s="78" t="s">
        <v>76</v>
      </c>
      <c r="Z36" s="40">
        <v>0.74</v>
      </c>
      <c r="AA36" s="10" t="s">
        <v>70</v>
      </c>
      <c r="AB36" s="41">
        <v>1</v>
      </c>
      <c r="AC36" s="41">
        <v>0</v>
      </c>
      <c r="AD36" s="41">
        <v>0</v>
      </c>
      <c r="AE36" s="41">
        <v>0</v>
      </c>
      <c r="AF36" s="41">
        <v>0</v>
      </c>
      <c r="AG36" s="41" t="s">
        <v>76</v>
      </c>
      <c r="AH36" s="10" t="s">
        <v>2</v>
      </c>
      <c r="AI36" s="12" t="s">
        <v>76</v>
      </c>
      <c r="AJ36" s="80">
        <v>1</v>
      </c>
    </row>
    <row r="37" spans="1:36" x14ac:dyDescent="0.3">
      <c r="A37" s="4" t="s">
        <v>58</v>
      </c>
      <c r="B37" s="39" t="s">
        <v>170</v>
      </c>
      <c r="C37" s="75">
        <v>43.719886000000002</v>
      </c>
      <c r="D37" s="76">
        <v>13.215282999999999</v>
      </c>
      <c r="E37" s="41" t="s">
        <v>71</v>
      </c>
      <c r="F37" s="41" t="s">
        <v>76</v>
      </c>
      <c r="G37" s="10" t="s">
        <v>243</v>
      </c>
      <c r="H37" s="41" t="s">
        <v>76</v>
      </c>
      <c r="I37" s="12" t="s">
        <v>76</v>
      </c>
      <c r="J37" s="40">
        <v>5</v>
      </c>
      <c r="K37" s="42">
        <v>10</v>
      </c>
      <c r="L37" s="12" t="s">
        <v>76</v>
      </c>
      <c r="M37" s="41">
        <v>1</v>
      </c>
      <c r="N37" s="41" t="s">
        <v>76</v>
      </c>
      <c r="O37" s="40">
        <v>-0.04</v>
      </c>
      <c r="P37" s="42">
        <v>-0.25</v>
      </c>
      <c r="Q37" s="42">
        <v>3</v>
      </c>
      <c r="R37" s="42" t="s">
        <v>76</v>
      </c>
      <c r="S37" s="12" t="s">
        <v>188</v>
      </c>
      <c r="T37" s="77">
        <v>6.9444444444444447E-4</v>
      </c>
      <c r="U37" s="78">
        <v>44820</v>
      </c>
      <c r="V37" s="79">
        <v>0.375</v>
      </c>
      <c r="W37" s="78">
        <v>44820</v>
      </c>
      <c r="X37" s="79">
        <v>4.1666666666666664E-2</v>
      </c>
      <c r="Y37" s="78">
        <v>44820</v>
      </c>
      <c r="Z37" s="40">
        <v>0.87</v>
      </c>
      <c r="AA37" s="10" t="s">
        <v>70</v>
      </c>
      <c r="AB37" s="41">
        <v>1</v>
      </c>
      <c r="AC37" s="41">
        <v>0</v>
      </c>
      <c r="AD37" s="41">
        <v>0</v>
      </c>
      <c r="AE37" s="41">
        <v>0</v>
      </c>
      <c r="AF37" s="41">
        <v>0</v>
      </c>
      <c r="AG37" s="41" t="s">
        <v>76</v>
      </c>
      <c r="AH37" s="10" t="s">
        <v>2</v>
      </c>
      <c r="AI37" s="12" t="s">
        <v>76</v>
      </c>
      <c r="AJ37" s="80">
        <v>1</v>
      </c>
    </row>
    <row r="38" spans="1:36" x14ac:dyDescent="0.3">
      <c r="A38" s="4" t="s">
        <v>59</v>
      </c>
      <c r="B38" s="39" t="s">
        <v>171</v>
      </c>
      <c r="C38" s="75">
        <v>43.718184000000001</v>
      </c>
      <c r="D38" s="76">
        <v>13.212923999999999</v>
      </c>
      <c r="E38" s="41" t="s">
        <v>83</v>
      </c>
      <c r="F38" s="41" t="s">
        <v>76</v>
      </c>
      <c r="G38" s="10" t="s">
        <v>243</v>
      </c>
      <c r="H38" s="41" t="s">
        <v>76</v>
      </c>
      <c r="I38" s="12" t="s">
        <v>76</v>
      </c>
      <c r="J38" s="40">
        <v>4</v>
      </c>
      <c r="K38" s="42">
        <v>6</v>
      </c>
      <c r="L38" s="12" t="s">
        <v>76</v>
      </c>
      <c r="M38" s="41">
        <v>1</v>
      </c>
      <c r="N38" s="41" t="s">
        <v>76</v>
      </c>
      <c r="O38" s="40">
        <v>0.03</v>
      </c>
      <c r="P38" s="42">
        <v>0</v>
      </c>
      <c r="Q38" s="42">
        <v>2.7</v>
      </c>
      <c r="R38" s="42" t="s">
        <v>76</v>
      </c>
      <c r="S38" s="12" t="s">
        <v>76</v>
      </c>
      <c r="T38" s="77">
        <v>4.1666666666666664E-2</v>
      </c>
      <c r="U38" s="78">
        <v>44820</v>
      </c>
      <c r="V38" s="79">
        <v>0.375</v>
      </c>
      <c r="W38" s="78">
        <v>44820</v>
      </c>
      <c r="X38" s="79" t="s">
        <v>76</v>
      </c>
      <c r="Y38" s="78" t="s">
        <v>76</v>
      </c>
      <c r="Z38" s="40">
        <v>0.5</v>
      </c>
      <c r="AA38" s="10" t="s">
        <v>70</v>
      </c>
      <c r="AB38" s="41">
        <v>1</v>
      </c>
      <c r="AC38" s="41">
        <v>0</v>
      </c>
      <c r="AD38" s="41">
        <v>0</v>
      </c>
      <c r="AE38" s="41">
        <v>0</v>
      </c>
      <c r="AF38" s="41">
        <v>0</v>
      </c>
      <c r="AG38" s="41" t="s">
        <v>76</v>
      </c>
      <c r="AH38" s="10" t="s">
        <v>2</v>
      </c>
      <c r="AI38" s="12" t="s">
        <v>76</v>
      </c>
      <c r="AJ38" s="80">
        <v>1</v>
      </c>
    </row>
    <row r="39" spans="1:36" x14ac:dyDescent="0.3">
      <c r="A39" s="4" t="s">
        <v>60</v>
      </c>
      <c r="B39" s="39" t="s">
        <v>147</v>
      </c>
      <c r="C39" s="75" t="s">
        <v>76</v>
      </c>
      <c r="D39" s="76" t="s">
        <v>76</v>
      </c>
      <c r="E39" s="41" t="s">
        <v>83</v>
      </c>
      <c r="F39" s="41" t="s">
        <v>76</v>
      </c>
      <c r="G39" s="10" t="s">
        <v>242</v>
      </c>
      <c r="H39" s="41" t="s">
        <v>76</v>
      </c>
      <c r="I39" s="12" t="s">
        <v>76</v>
      </c>
      <c r="J39" s="40" t="s">
        <v>76</v>
      </c>
      <c r="K39" s="42" t="s">
        <v>76</v>
      </c>
      <c r="L39" s="12" t="s">
        <v>89</v>
      </c>
      <c r="M39" s="41">
        <v>1</v>
      </c>
      <c r="N39" s="41" t="s">
        <v>76</v>
      </c>
      <c r="O39" s="40">
        <v>0</v>
      </c>
      <c r="P39" s="42" t="s">
        <v>76</v>
      </c>
      <c r="Q39" s="42">
        <v>2.8</v>
      </c>
      <c r="R39" s="42" t="s">
        <v>76</v>
      </c>
      <c r="S39" s="12" t="s">
        <v>76</v>
      </c>
      <c r="T39" s="77">
        <v>0.875</v>
      </c>
      <c r="U39" s="78">
        <v>44819</v>
      </c>
      <c r="V39" s="79">
        <v>0.95833333333333337</v>
      </c>
      <c r="W39" s="78">
        <v>44819</v>
      </c>
      <c r="X39" s="79" t="s">
        <v>76</v>
      </c>
      <c r="Y39" s="78" t="s">
        <v>76</v>
      </c>
      <c r="Z39" s="40">
        <v>3.2</v>
      </c>
      <c r="AA39" s="10" t="s">
        <v>70</v>
      </c>
      <c r="AB39" s="41">
        <v>1</v>
      </c>
      <c r="AC39" s="41">
        <v>1</v>
      </c>
      <c r="AD39" s="41">
        <v>1</v>
      </c>
      <c r="AE39" s="41">
        <v>0</v>
      </c>
      <c r="AF39" s="41">
        <v>0</v>
      </c>
      <c r="AG39" s="41" t="s">
        <v>76</v>
      </c>
      <c r="AH39" s="10" t="s">
        <v>2</v>
      </c>
      <c r="AI39" s="12" t="s">
        <v>76</v>
      </c>
      <c r="AJ39" s="80">
        <v>1</v>
      </c>
    </row>
    <row r="40" spans="1:36" x14ac:dyDescent="0.3">
      <c r="A40" s="4" t="s">
        <v>61</v>
      </c>
      <c r="B40" s="39" t="s">
        <v>172</v>
      </c>
      <c r="C40" s="75" t="s">
        <v>76</v>
      </c>
      <c r="D40" s="76" t="s">
        <v>76</v>
      </c>
      <c r="E40" s="41" t="s">
        <v>83</v>
      </c>
      <c r="F40" s="41" t="s">
        <v>76</v>
      </c>
      <c r="G40" s="10" t="s">
        <v>76</v>
      </c>
      <c r="H40" s="41" t="s">
        <v>76</v>
      </c>
      <c r="I40" s="12" t="s">
        <v>241</v>
      </c>
      <c r="J40" s="40" t="s">
        <v>76</v>
      </c>
      <c r="K40" s="42" t="s">
        <v>76</v>
      </c>
      <c r="L40" s="12" t="s">
        <v>73</v>
      </c>
      <c r="M40" s="41">
        <v>1</v>
      </c>
      <c r="N40" s="41" t="s">
        <v>76</v>
      </c>
      <c r="O40" s="40">
        <v>-0.6</v>
      </c>
      <c r="P40" s="42" t="s">
        <v>76</v>
      </c>
      <c r="Q40" s="42">
        <v>3</v>
      </c>
      <c r="R40" s="42" t="s">
        <v>76</v>
      </c>
      <c r="S40" s="12" t="s">
        <v>76</v>
      </c>
      <c r="T40" s="77">
        <v>0.89583333333333337</v>
      </c>
      <c r="U40" s="78">
        <v>44819</v>
      </c>
      <c r="V40" s="79">
        <v>4.1666666666666664E-2</v>
      </c>
      <c r="W40" s="78">
        <v>44820</v>
      </c>
      <c r="X40" s="79">
        <v>0.90625</v>
      </c>
      <c r="Y40" s="78">
        <v>44819</v>
      </c>
      <c r="Z40" s="40">
        <v>1.4</v>
      </c>
      <c r="AA40" s="10" t="s">
        <v>70</v>
      </c>
      <c r="AB40" s="41">
        <v>1</v>
      </c>
      <c r="AC40" s="41">
        <v>0</v>
      </c>
      <c r="AD40" s="41">
        <v>1</v>
      </c>
      <c r="AE40" s="41">
        <v>0</v>
      </c>
      <c r="AF40" s="41">
        <v>0</v>
      </c>
      <c r="AG40" s="41" t="s">
        <v>76</v>
      </c>
      <c r="AH40" s="10" t="s">
        <v>2</v>
      </c>
      <c r="AI40" s="12" t="s">
        <v>76</v>
      </c>
      <c r="AJ40" s="80">
        <v>1</v>
      </c>
    </row>
    <row r="41" spans="1:36" x14ac:dyDescent="0.3">
      <c r="A41" s="4" t="s">
        <v>62</v>
      </c>
      <c r="B41" s="39" t="s">
        <v>148</v>
      </c>
      <c r="C41" s="75" t="s">
        <v>76</v>
      </c>
      <c r="D41" s="76" t="s">
        <v>76</v>
      </c>
      <c r="E41" s="41" t="s">
        <v>71</v>
      </c>
      <c r="F41" s="41" t="s">
        <v>76</v>
      </c>
      <c r="G41" s="10" t="s">
        <v>243</v>
      </c>
      <c r="H41" s="41" t="s">
        <v>76</v>
      </c>
      <c r="I41" s="12" t="s">
        <v>76</v>
      </c>
      <c r="J41" s="40" t="s">
        <v>76</v>
      </c>
      <c r="K41" s="42" t="s">
        <v>76</v>
      </c>
      <c r="L41" s="12" t="s">
        <v>265</v>
      </c>
      <c r="M41" s="41">
        <v>1</v>
      </c>
      <c r="N41" s="41" t="s">
        <v>76</v>
      </c>
      <c r="O41" s="40" t="s">
        <v>76</v>
      </c>
      <c r="P41" s="42" t="s">
        <v>76</v>
      </c>
      <c r="Q41" s="42" t="s">
        <v>76</v>
      </c>
      <c r="R41" s="42" t="s">
        <v>76</v>
      </c>
      <c r="S41" s="12" t="s">
        <v>189</v>
      </c>
      <c r="T41" s="77">
        <v>0.875</v>
      </c>
      <c r="U41" s="78">
        <v>44819</v>
      </c>
      <c r="V41" s="79">
        <v>0.9375</v>
      </c>
      <c r="W41" s="78">
        <v>44819</v>
      </c>
      <c r="X41" s="79" t="s">
        <v>76</v>
      </c>
      <c r="Y41" s="78" t="s">
        <v>76</v>
      </c>
      <c r="Z41" s="40">
        <v>1.9</v>
      </c>
      <c r="AA41" s="10" t="s">
        <v>70</v>
      </c>
      <c r="AB41" s="41">
        <v>1</v>
      </c>
      <c r="AC41" s="41">
        <v>1</v>
      </c>
      <c r="AD41" s="41">
        <v>1</v>
      </c>
      <c r="AE41" s="41">
        <v>0</v>
      </c>
      <c r="AF41" s="41">
        <v>0</v>
      </c>
      <c r="AG41" s="41" t="s">
        <v>76</v>
      </c>
      <c r="AH41" s="10" t="s">
        <v>2</v>
      </c>
      <c r="AI41" s="12" t="s">
        <v>76</v>
      </c>
      <c r="AJ41" s="80">
        <v>1</v>
      </c>
    </row>
    <row r="42" spans="1:36" x14ac:dyDescent="0.3">
      <c r="A42" s="4" t="s">
        <v>63</v>
      </c>
      <c r="B42" s="39" t="s">
        <v>173</v>
      </c>
      <c r="C42" s="75">
        <v>43.710565000000003</v>
      </c>
      <c r="D42" s="76">
        <v>13.214536000000001</v>
      </c>
      <c r="E42" s="41" t="s">
        <v>83</v>
      </c>
      <c r="F42" s="41" t="s">
        <v>76</v>
      </c>
      <c r="G42" s="10" t="s">
        <v>243</v>
      </c>
      <c r="H42" s="41" t="s">
        <v>76</v>
      </c>
      <c r="I42" s="12" t="s">
        <v>76</v>
      </c>
      <c r="J42" s="40" t="s">
        <v>76</v>
      </c>
      <c r="K42" s="42" t="s">
        <v>76</v>
      </c>
      <c r="L42" s="12" t="s">
        <v>181</v>
      </c>
      <c r="M42" s="41">
        <v>1</v>
      </c>
      <c r="N42" s="41" t="s">
        <v>76</v>
      </c>
      <c r="O42" s="40">
        <v>0</v>
      </c>
      <c r="P42" s="42">
        <v>0</v>
      </c>
      <c r="Q42" s="42">
        <v>2</v>
      </c>
      <c r="R42" s="42" t="s">
        <v>76</v>
      </c>
      <c r="S42" s="12" t="s">
        <v>190</v>
      </c>
      <c r="T42" s="77">
        <v>6.9444444444444447E-4</v>
      </c>
      <c r="U42" s="78">
        <v>44820</v>
      </c>
      <c r="V42" s="79">
        <v>0.375</v>
      </c>
      <c r="W42" s="78">
        <v>44820</v>
      </c>
      <c r="X42" s="79" t="s">
        <v>76</v>
      </c>
      <c r="Y42" s="78" t="s">
        <v>76</v>
      </c>
      <c r="Z42" s="40">
        <v>1.8</v>
      </c>
      <c r="AA42" s="10" t="s">
        <v>70</v>
      </c>
      <c r="AB42" s="41">
        <v>1</v>
      </c>
      <c r="AC42" s="41">
        <v>0</v>
      </c>
      <c r="AD42" s="41">
        <v>0</v>
      </c>
      <c r="AE42" s="41">
        <v>0</v>
      </c>
      <c r="AF42" s="41">
        <v>0</v>
      </c>
      <c r="AG42" s="41" t="s">
        <v>76</v>
      </c>
      <c r="AH42" s="10" t="s">
        <v>70</v>
      </c>
      <c r="AI42" s="81" t="s">
        <v>76</v>
      </c>
      <c r="AJ42" s="80">
        <v>1</v>
      </c>
    </row>
    <row r="43" spans="1:36" x14ac:dyDescent="0.3">
      <c r="A43" s="4" t="s">
        <v>64</v>
      </c>
      <c r="B43" s="39" t="s">
        <v>174</v>
      </c>
      <c r="C43" s="75">
        <v>43.625771</v>
      </c>
      <c r="D43" s="76">
        <v>13.132436999999999</v>
      </c>
      <c r="E43" s="41" t="s">
        <v>83</v>
      </c>
      <c r="F43" s="41">
        <v>1961</v>
      </c>
      <c r="G43" s="10" t="s">
        <v>243</v>
      </c>
      <c r="H43" s="41" t="s">
        <v>76</v>
      </c>
      <c r="I43" s="12" t="s">
        <v>76</v>
      </c>
      <c r="J43" s="40">
        <v>4.8</v>
      </c>
      <c r="K43" s="42">
        <v>11.5</v>
      </c>
      <c r="L43" s="12" t="s">
        <v>76</v>
      </c>
      <c r="M43" s="41">
        <v>1</v>
      </c>
      <c r="N43" s="41" t="s">
        <v>76</v>
      </c>
      <c r="O43" s="40" t="s">
        <v>76</v>
      </c>
      <c r="P43" s="42" t="s">
        <v>76</v>
      </c>
      <c r="Q43" s="42" t="s">
        <v>76</v>
      </c>
      <c r="R43" s="42">
        <v>2.74</v>
      </c>
      <c r="S43" s="12" t="s">
        <v>76</v>
      </c>
      <c r="T43" s="77">
        <v>0.875</v>
      </c>
      <c r="U43" s="78">
        <v>44819</v>
      </c>
      <c r="V43" s="79" t="s">
        <v>76</v>
      </c>
      <c r="W43" s="78" t="s">
        <v>76</v>
      </c>
      <c r="X43" s="79">
        <v>0.89583333333333337</v>
      </c>
      <c r="Y43" s="78">
        <v>44819</v>
      </c>
      <c r="Z43" s="40">
        <v>0.9</v>
      </c>
      <c r="AA43" s="10" t="s">
        <v>70</v>
      </c>
      <c r="AB43" s="41">
        <v>1</v>
      </c>
      <c r="AC43" s="41">
        <v>1</v>
      </c>
      <c r="AD43" s="41">
        <v>1</v>
      </c>
      <c r="AE43" s="41">
        <v>1</v>
      </c>
      <c r="AF43" s="41">
        <v>0</v>
      </c>
      <c r="AG43" s="41" t="s">
        <v>76</v>
      </c>
      <c r="AH43" s="10" t="s">
        <v>76</v>
      </c>
      <c r="AI43" s="12" t="s">
        <v>76</v>
      </c>
      <c r="AJ43" s="80">
        <v>1</v>
      </c>
    </row>
    <row r="44" spans="1:36" x14ac:dyDescent="0.3">
      <c r="A44" s="4" t="s">
        <v>65</v>
      </c>
      <c r="B44" s="39" t="s">
        <v>175</v>
      </c>
      <c r="C44" s="75">
        <v>43.624586000000001</v>
      </c>
      <c r="D44" s="76">
        <v>13.131213000000001</v>
      </c>
      <c r="E44" s="41" t="s">
        <v>83</v>
      </c>
      <c r="F44" s="41">
        <v>1960</v>
      </c>
      <c r="G44" s="10" t="s">
        <v>242</v>
      </c>
      <c r="H44" s="41" t="s">
        <v>76</v>
      </c>
      <c r="I44" s="12" t="s">
        <v>76</v>
      </c>
      <c r="J44" s="40">
        <v>3.5</v>
      </c>
      <c r="K44" s="42">
        <v>11</v>
      </c>
      <c r="L44" s="12" t="s">
        <v>76</v>
      </c>
      <c r="M44" s="41">
        <v>1</v>
      </c>
      <c r="N44" s="41" t="s">
        <v>76</v>
      </c>
      <c r="O44" s="40">
        <v>0.2</v>
      </c>
      <c r="P44" s="42">
        <v>0</v>
      </c>
      <c r="Q44" s="42" t="s">
        <v>76</v>
      </c>
      <c r="R44" s="42">
        <v>2.38</v>
      </c>
      <c r="S44" s="12" t="s">
        <v>76</v>
      </c>
      <c r="T44" s="77">
        <v>0.875</v>
      </c>
      <c r="U44" s="78">
        <v>44819</v>
      </c>
      <c r="V44" s="79" t="s">
        <v>76</v>
      </c>
      <c r="W44" s="78" t="s">
        <v>76</v>
      </c>
      <c r="X44" s="79" t="s">
        <v>76</v>
      </c>
      <c r="Y44" s="78" t="s">
        <v>76</v>
      </c>
      <c r="Z44" s="40">
        <v>0.7</v>
      </c>
      <c r="AA44" s="10" t="s">
        <v>70</v>
      </c>
      <c r="AB44" s="41">
        <v>1</v>
      </c>
      <c r="AC44" s="41">
        <v>0</v>
      </c>
      <c r="AD44" s="41">
        <v>0</v>
      </c>
      <c r="AE44" s="41">
        <v>0</v>
      </c>
      <c r="AF44" s="41">
        <v>0</v>
      </c>
      <c r="AG44" s="41" t="s">
        <v>76</v>
      </c>
      <c r="AH44" s="10" t="s">
        <v>76</v>
      </c>
      <c r="AI44" s="12" t="s">
        <v>76</v>
      </c>
      <c r="AJ44" s="80">
        <v>1</v>
      </c>
    </row>
    <row r="45" spans="1:36" x14ac:dyDescent="0.3">
      <c r="A45" s="4" t="s">
        <v>66</v>
      </c>
      <c r="B45" s="39" t="s">
        <v>176</v>
      </c>
      <c r="C45" s="75" t="s">
        <v>76</v>
      </c>
      <c r="D45" s="76" t="s">
        <v>76</v>
      </c>
      <c r="E45" s="41" t="s">
        <v>76</v>
      </c>
      <c r="F45" s="41" t="s">
        <v>76</v>
      </c>
      <c r="G45" s="10" t="s">
        <v>76</v>
      </c>
      <c r="H45" s="41" t="s">
        <v>76</v>
      </c>
      <c r="I45" s="12" t="s">
        <v>76</v>
      </c>
      <c r="J45" s="40" t="s">
        <v>76</v>
      </c>
      <c r="K45" s="42" t="s">
        <v>76</v>
      </c>
      <c r="L45" s="12" t="s">
        <v>76</v>
      </c>
      <c r="M45" s="41" t="s">
        <v>76</v>
      </c>
      <c r="N45" s="41" t="s">
        <v>76</v>
      </c>
      <c r="O45" s="40" t="s">
        <v>76</v>
      </c>
      <c r="P45" s="42" t="s">
        <v>76</v>
      </c>
      <c r="Q45" s="42" t="s">
        <v>76</v>
      </c>
      <c r="R45" s="42" t="s">
        <v>76</v>
      </c>
      <c r="S45" s="12" t="s">
        <v>76</v>
      </c>
      <c r="T45" s="77">
        <v>6.25E-2</v>
      </c>
      <c r="U45" s="78">
        <v>44820</v>
      </c>
      <c r="V45" s="79">
        <v>0.54166666666666663</v>
      </c>
      <c r="W45" s="78">
        <v>44821</v>
      </c>
      <c r="X45" s="79" t="s">
        <v>76</v>
      </c>
      <c r="Y45" s="78" t="s">
        <v>76</v>
      </c>
      <c r="Z45" s="40" t="s">
        <v>76</v>
      </c>
      <c r="AA45" s="10" t="s">
        <v>70</v>
      </c>
      <c r="AB45" s="41">
        <v>1</v>
      </c>
      <c r="AC45" s="41">
        <v>0</v>
      </c>
      <c r="AD45" s="41">
        <v>0</v>
      </c>
      <c r="AE45" s="41">
        <v>0</v>
      </c>
      <c r="AF45" s="41">
        <v>0</v>
      </c>
      <c r="AG45" s="41" t="s">
        <v>76</v>
      </c>
      <c r="AH45" s="10" t="s">
        <v>70</v>
      </c>
      <c r="AI45" s="12" t="s">
        <v>76</v>
      </c>
      <c r="AJ45" s="80" t="s">
        <v>76</v>
      </c>
    </row>
    <row r="46" spans="1:36" x14ac:dyDescent="0.3">
      <c r="A46" s="4" t="s">
        <v>67</v>
      </c>
      <c r="B46" s="39" t="s">
        <v>149</v>
      </c>
      <c r="C46" s="75">
        <v>43.712507000000002</v>
      </c>
      <c r="D46" s="76">
        <v>13.211414</v>
      </c>
      <c r="E46" s="41" t="s">
        <v>83</v>
      </c>
      <c r="F46" s="41" t="s">
        <v>76</v>
      </c>
      <c r="G46" s="10" t="s">
        <v>243</v>
      </c>
      <c r="H46" s="41" t="s">
        <v>76</v>
      </c>
      <c r="I46" s="12" t="s">
        <v>76</v>
      </c>
      <c r="J46" s="40">
        <v>5</v>
      </c>
      <c r="K46" s="42">
        <v>3.3</v>
      </c>
      <c r="L46" s="12" t="s">
        <v>76</v>
      </c>
      <c r="M46" s="41">
        <v>1</v>
      </c>
      <c r="N46" s="41" t="s">
        <v>76</v>
      </c>
      <c r="O46" s="40">
        <v>0</v>
      </c>
      <c r="P46" s="42">
        <v>0</v>
      </c>
      <c r="Q46" s="42" t="s">
        <v>76</v>
      </c>
      <c r="R46" s="42" t="s">
        <v>76</v>
      </c>
      <c r="S46" s="12" t="s">
        <v>191</v>
      </c>
      <c r="T46" s="77">
        <v>6.9444444444444447E-4</v>
      </c>
      <c r="U46" s="78">
        <v>44820</v>
      </c>
      <c r="V46" s="79">
        <v>0.625</v>
      </c>
      <c r="W46" s="78">
        <v>44820</v>
      </c>
      <c r="X46" s="79" t="s">
        <v>76</v>
      </c>
      <c r="Y46" s="78" t="s">
        <v>76</v>
      </c>
      <c r="Z46" s="40">
        <v>1.55</v>
      </c>
      <c r="AA46" s="10" t="s">
        <v>70</v>
      </c>
      <c r="AB46" s="41">
        <v>1</v>
      </c>
      <c r="AC46" s="41">
        <v>0</v>
      </c>
      <c r="AD46" s="41">
        <v>0</v>
      </c>
      <c r="AE46" s="41">
        <v>0</v>
      </c>
      <c r="AF46" s="41">
        <v>0</v>
      </c>
      <c r="AG46" s="41" t="s">
        <v>76</v>
      </c>
      <c r="AH46" s="10" t="s">
        <v>76</v>
      </c>
      <c r="AI46" s="12" t="s">
        <v>76</v>
      </c>
      <c r="AJ46" s="80">
        <v>1</v>
      </c>
    </row>
    <row r="47" spans="1:36" x14ac:dyDescent="0.3">
      <c r="A47" s="4" t="s">
        <v>68</v>
      </c>
      <c r="B47" s="39" t="s">
        <v>150</v>
      </c>
      <c r="C47" s="75">
        <v>43.635407000000001</v>
      </c>
      <c r="D47" s="76">
        <v>13.137555000000001</v>
      </c>
      <c r="E47" s="41" t="s">
        <v>83</v>
      </c>
      <c r="F47" s="41" t="s">
        <v>76</v>
      </c>
      <c r="G47" s="10" t="s">
        <v>242</v>
      </c>
      <c r="H47" s="41" t="s">
        <v>76</v>
      </c>
      <c r="I47" s="12" t="s">
        <v>76</v>
      </c>
      <c r="J47" s="40">
        <v>5.48</v>
      </c>
      <c r="K47" s="42">
        <v>7.3</v>
      </c>
      <c r="L47" s="12" t="s">
        <v>76</v>
      </c>
      <c r="M47" s="41">
        <v>2</v>
      </c>
      <c r="N47" s="41" t="s">
        <v>178</v>
      </c>
      <c r="O47" s="40" t="s">
        <v>76</v>
      </c>
      <c r="P47" s="42" t="s">
        <v>76</v>
      </c>
      <c r="Q47" s="42">
        <v>2.2999999999999998</v>
      </c>
      <c r="R47" s="42">
        <v>2.4</v>
      </c>
      <c r="S47" s="12" t="s">
        <v>268</v>
      </c>
      <c r="T47" s="77">
        <v>0.875</v>
      </c>
      <c r="U47" s="78">
        <v>44819</v>
      </c>
      <c r="V47" s="79">
        <v>0.95833333333333337</v>
      </c>
      <c r="W47" s="78">
        <v>44819</v>
      </c>
      <c r="X47" s="79" t="s">
        <v>76</v>
      </c>
      <c r="Y47" s="78" t="s">
        <v>76</v>
      </c>
      <c r="Z47" s="40">
        <v>0.28000000000000003</v>
      </c>
      <c r="AA47" s="10" t="s">
        <v>70</v>
      </c>
      <c r="AB47" s="41">
        <v>1</v>
      </c>
      <c r="AC47" s="41">
        <v>0</v>
      </c>
      <c r="AD47" s="41">
        <v>1</v>
      </c>
      <c r="AE47" s="41">
        <v>0</v>
      </c>
      <c r="AF47" s="41">
        <v>0</v>
      </c>
      <c r="AG47" s="41" t="s">
        <v>76</v>
      </c>
      <c r="AH47" s="10" t="s">
        <v>76</v>
      </c>
      <c r="AI47" s="12" t="s">
        <v>76</v>
      </c>
      <c r="AJ47" s="80">
        <v>2</v>
      </c>
    </row>
    <row r="48" spans="1:36" x14ac:dyDescent="0.3">
      <c r="A48" s="6" t="s">
        <v>69</v>
      </c>
      <c r="B48" s="47" t="s">
        <v>151</v>
      </c>
      <c r="C48" s="82">
        <v>43.625138999999997</v>
      </c>
      <c r="D48" s="83">
        <v>13.129417</v>
      </c>
      <c r="E48" s="53" t="s">
        <v>83</v>
      </c>
      <c r="F48" s="53" t="s">
        <v>76</v>
      </c>
      <c r="G48" s="52" t="s">
        <v>245</v>
      </c>
      <c r="H48" s="53" t="s">
        <v>76</v>
      </c>
      <c r="I48" s="49" t="s">
        <v>76</v>
      </c>
      <c r="J48" s="48">
        <v>9.5</v>
      </c>
      <c r="K48" s="54">
        <v>15</v>
      </c>
      <c r="L48" s="49" t="s">
        <v>76</v>
      </c>
      <c r="M48" s="53">
        <v>1</v>
      </c>
      <c r="N48" s="53" t="s">
        <v>76</v>
      </c>
      <c r="O48" s="48">
        <v>-0.4</v>
      </c>
      <c r="P48" s="54">
        <v>0</v>
      </c>
      <c r="Q48" s="54" t="s">
        <v>76</v>
      </c>
      <c r="R48" s="54">
        <v>2.4300000000000002</v>
      </c>
      <c r="S48" s="49" t="s">
        <v>76</v>
      </c>
      <c r="T48" s="84">
        <v>0.875</v>
      </c>
      <c r="U48" s="85">
        <v>44819</v>
      </c>
      <c r="V48" s="86" t="s">
        <v>76</v>
      </c>
      <c r="W48" s="85" t="s">
        <v>76</v>
      </c>
      <c r="X48" s="86" t="s">
        <v>76</v>
      </c>
      <c r="Y48" s="85" t="s">
        <v>76</v>
      </c>
      <c r="Z48" s="48">
        <v>0.83</v>
      </c>
      <c r="AA48" s="52" t="s">
        <v>70</v>
      </c>
      <c r="AB48" s="53">
        <v>1</v>
      </c>
      <c r="AC48" s="53">
        <v>0</v>
      </c>
      <c r="AD48" s="53">
        <v>1</v>
      </c>
      <c r="AE48" s="53">
        <v>1</v>
      </c>
      <c r="AF48" s="53">
        <v>0</v>
      </c>
      <c r="AG48" s="53" t="s">
        <v>76</v>
      </c>
      <c r="AH48" s="52" t="s">
        <v>2</v>
      </c>
      <c r="AI48" s="49" t="s">
        <v>76</v>
      </c>
      <c r="AJ48" s="87">
        <v>1</v>
      </c>
    </row>
    <row r="49" spans="1:127" x14ac:dyDescent="0.3">
      <c r="A49" s="5"/>
    </row>
    <row r="50" spans="1:127" x14ac:dyDescent="0.3">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c r="AH50" s="5"/>
      <c r="AI50" s="5"/>
      <c r="AJ50" s="5"/>
    </row>
    <row r="51" spans="1:127" x14ac:dyDescent="0.3">
      <c r="A51" s="5"/>
    </row>
    <row r="52" spans="1:127" x14ac:dyDescent="0.3">
      <c r="A52" s="5"/>
    </row>
    <row r="53" spans="1:127" x14ac:dyDescent="0.3">
      <c r="A53" s="5"/>
    </row>
    <row r="54" spans="1:127" x14ac:dyDescent="0.3">
      <c r="A54" s="5"/>
    </row>
    <row r="55" spans="1:127" x14ac:dyDescent="0.3">
      <c r="A55" s="5"/>
    </row>
    <row r="56" spans="1:127" x14ac:dyDescent="0.3">
      <c r="A56" s="5"/>
    </row>
    <row r="57" spans="1:127" x14ac:dyDescent="0.3">
      <c r="A57" s="5"/>
    </row>
    <row r="58" spans="1:127" x14ac:dyDescent="0.3">
      <c r="A58" s="5"/>
    </row>
    <row r="59" spans="1:127" x14ac:dyDescent="0.3">
      <c r="A59" s="5"/>
    </row>
    <row r="60" spans="1:127" x14ac:dyDescent="0.3">
      <c r="A60" s="5"/>
    </row>
    <row r="61" spans="1:127" x14ac:dyDescent="0.3">
      <c r="A61" s="5"/>
    </row>
    <row r="62" spans="1:127" s="2" customFormat="1" x14ac:dyDescent="0.3">
      <c r="A62" s="5"/>
      <c r="C62"/>
      <c r="D62"/>
      <c r="E62"/>
      <c r="F62"/>
      <c r="G62"/>
      <c r="H62"/>
      <c r="I62"/>
      <c r="J62"/>
      <c r="K62"/>
      <c r="L62"/>
      <c r="M62"/>
      <c r="N62"/>
      <c r="O62"/>
      <c r="P62"/>
      <c r="Q62"/>
      <c r="R62"/>
      <c r="S62"/>
      <c r="T62"/>
      <c r="U62"/>
      <c r="V62"/>
      <c r="W62"/>
      <c r="X62"/>
      <c r="Y62"/>
      <c r="Z62"/>
      <c r="AA62"/>
      <c r="AB62"/>
      <c r="AC62"/>
      <c r="AD62"/>
      <c r="AE62"/>
      <c r="AF62"/>
      <c r="AG62"/>
      <c r="AH62"/>
      <c r="AI62"/>
      <c r="AJ62"/>
      <c r="AK62"/>
      <c r="AL62"/>
      <c r="AM62"/>
      <c r="AN62"/>
      <c r="AO62"/>
      <c r="AP62"/>
      <c r="AQ62"/>
      <c r="AR62"/>
      <c r="AS62"/>
      <c r="AT62"/>
      <c r="AU62"/>
      <c r="AV62"/>
      <c r="AW62"/>
      <c r="AX62"/>
      <c r="AY62"/>
      <c r="AZ62"/>
      <c r="BA62"/>
      <c r="BB62"/>
      <c r="BC62"/>
      <c r="BD62"/>
      <c r="BE62"/>
      <c r="BF62"/>
      <c r="BG62"/>
      <c r="BH62"/>
      <c r="BI62"/>
      <c r="BJ62"/>
      <c r="BK62"/>
      <c r="BL62"/>
      <c r="BM62"/>
      <c r="BN62"/>
      <c r="BO62"/>
      <c r="BP62"/>
      <c r="BQ62"/>
      <c r="BR62"/>
      <c r="BS62"/>
      <c r="BT62"/>
      <c r="BU62"/>
      <c r="BV62"/>
      <c r="BW62"/>
      <c r="BX62"/>
      <c r="BY62"/>
      <c r="BZ62"/>
      <c r="CA62"/>
      <c r="CB62"/>
      <c r="CC62"/>
      <c r="CD62"/>
      <c r="CE62"/>
      <c r="CF62"/>
      <c r="CG62"/>
      <c r="CH62"/>
      <c r="CI62"/>
      <c r="CJ62"/>
      <c r="CK62"/>
      <c r="CL62"/>
      <c r="CM62"/>
      <c r="CN62"/>
      <c r="CO62"/>
      <c r="CP62"/>
      <c r="CQ62"/>
      <c r="CR62"/>
      <c r="CS62"/>
      <c r="CT62"/>
      <c r="CU62"/>
      <c r="CV62"/>
      <c r="CW62"/>
      <c r="CX62"/>
      <c r="CY62"/>
      <c r="CZ62"/>
      <c r="DA62"/>
      <c r="DB62"/>
      <c r="DC62"/>
      <c r="DD62"/>
      <c r="DE62"/>
      <c r="DF62"/>
      <c r="DG62"/>
      <c r="DH62"/>
      <c r="DI62"/>
      <c r="DJ62"/>
      <c r="DK62"/>
      <c r="DL62"/>
      <c r="DM62"/>
      <c r="DN62"/>
      <c r="DO62"/>
      <c r="DP62"/>
      <c r="DQ62"/>
      <c r="DR62"/>
      <c r="DS62"/>
      <c r="DT62"/>
      <c r="DU62"/>
      <c r="DV62"/>
      <c r="DW62"/>
    </row>
    <row r="63" spans="1:127" s="2" customFormat="1" x14ac:dyDescent="0.3">
      <c r="A63" s="5"/>
      <c r="C63"/>
      <c r="D63"/>
      <c r="E63"/>
      <c r="F63"/>
      <c r="G63"/>
      <c r="H63"/>
      <c r="I63"/>
      <c r="J63"/>
      <c r="K63"/>
      <c r="L63"/>
      <c r="M63"/>
      <c r="N63"/>
      <c r="O63"/>
      <c r="P63"/>
      <c r="Q63"/>
      <c r="R63"/>
      <c r="S63"/>
      <c r="T63"/>
      <c r="U63"/>
      <c r="V63"/>
      <c r="W63"/>
      <c r="X63"/>
      <c r="Y63"/>
      <c r="Z63"/>
      <c r="AA63"/>
      <c r="AB63"/>
      <c r="AC63"/>
      <c r="AD63"/>
      <c r="AE63"/>
      <c r="AF63"/>
      <c r="AG63"/>
      <c r="AH63"/>
      <c r="AI63"/>
      <c r="AJ63"/>
      <c r="AK63"/>
      <c r="AL63"/>
      <c r="AM63"/>
      <c r="AN63"/>
      <c r="AO63"/>
      <c r="AP63"/>
      <c r="AQ63"/>
      <c r="AR63"/>
      <c r="AS63"/>
      <c r="AT63"/>
      <c r="AU63"/>
      <c r="AV63"/>
      <c r="AW63"/>
      <c r="AX63"/>
      <c r="AY63"/>
      <c r="AZ63"/>
      <c r="BA63"/>
      <c r="BB63"/>
      <c r="BC63"/>
      <c r="BD63"/>
      <c r="BE63"/>
      <c r="BF63"/>
      <c r="BG63"/>
      <c r="BH63"/>
      <c r="BI63"/>
      <c r="BJ63"/>
      <c r="BK63"/>
      <c r="BL63"/>
      <c r="BM63"/>
      <c r="BN63"/>
      <c r="BO63"/>
      <c r="BP63"/>
      <c r="BQ63"/>
      <c r="BR63"/>
      <c r="BS63"/>
      <c r="BT63"/>
      <c r="BU63"/>
      <c r="BV63"/>
      <c r="BW63"/>
      <c r="BX63"/>
      <c r="BY63"/>
      <c r="BZ63"/>
      <c r="CA63"/>
      <c r="CB63"/>
      <c r="CC63"/>
      <c r="CD63"/>
      <c r="CE63"/>
      <c r="CF63"/>
      <c r="CG63"/>
      <c r="CH63"/>
      <c r="CI63"/>
      <c r="CJ63"/>
      <c r="CK63"/>
      <c r="CL63"/>
      <c r="CM63"/>
      <c r="CN63"/>
      <c r="CO63"/>
      <c r="CP63"/>
      <c r="CQ63"/>
      <c r="CR63"/>
      <c r="CS63"/>
      <c r="CT63"/>
      <c r="CU63"/>
      <c r="CV63"/>
      <c r="CW63"/>
      <c r="CX63"/>
      <c r="CY63"/>
      <c r="CZ63"/>
      <c r="DA63"/>
      <c r="DB63"/>
      <c r="DC63"/>
      <c r="DD63"/>
      <c r="DE63"/>
      <c r="DF63"/>
      <c r="DG63"/>
      <c r="DH63"/>
      <c r="DI63"/>
      <c r="DJ63"/>
      <c r="DK63"/>
      <c r="DL63"/>
      <c r="DM63"/>
      <c r="DN63"/>
      <c r="DO63"/>
      <c r="DP63"/>
      <c r="DQ63"/>
      <c r="DR63"/>
      <c r="DS63"/>
      <c r="DT63"/>
      <c r="DU63"/>
      <c r="DV63"/>
      <c r="DW63"/>
    </row>
    <row r="64" spans="1:127" s="2" customFormat="1" x14ac:dyDescent="0.3">
      <c r="A64" s="5"/>
      <c r="C64"/>
      <c r="D64"/>
      <c r="E64"/>
      <c r="F64"/>
      <c r="G64"/>
      <c r="H64"/>
      <c r="I64"/>
      <c r="J64"/>
      <c r="K64"/>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c r="AW64"/>
      <c r="AX64"/>
      <c r="AY64"/>
      <c r="AZ64"/>
      <c r="BA64"/>
      <c r="BB64"/>
      <c r="BC64"/>
      <c r="BD64"/>
      <c r="BE64"/>
      <c r="BF64"/>
      <c r="BG64"/>
      <c r="BH64"/>
      <c r="BI64"/>
      <c r="BJ64"/>
      <c r="BK64"/>
      <c r="BL64"/>
      <c r="BM64"/>
      <c r="BN64"/>
      <c r="BO64"/>
      <c r="BP64"/>
      <c r="BQ64"/>
      <c r="BR64"/>
      <c r="BS64"/>
      <c r="BT64"/>
      <c r="BU64"/>
      <c r="BV64"/>
      <c r="BW64"/>
      <c r="BX64"/>
      <c r="BY64"/>
      <c r="BZ64"/>
      <c r="CA64"/>
      <c r="CB64"/>
      <c r="CC64"/>
      <c r="CD64"/>
      <c r="CE64"/>
      <c r="CF64"/>
      <c r="CG64"/>
      <c r="CH64"/>
      <c r="CI64"/>
      <c r="CJ64"/>
      <c r="CK64"/>
      <c r="CL64"/>
      <c r="CM64"/>
      <c r="CN64"/>
      <c r="CO64"/>
      <c r="CP64"/>
      <c r="CQ64"/>
      <c r="CR64"/>
      <c r="CS64"/>
      <c r="CT64"/>
      <c r="CU64"/>
      <c r="CV64"/>
      <c r="CW64"/>
      <c r="CX64"/>
      <c r="CY64"/>
      <c r="CZ64"/>
      <c r="DA64"/>
      <c r="DB64"/>
      <c r="DC64"/>
      <c r="DD64"/>
      <c r="DE64"/>
      <c r="DF64"/>
      <c r="DG64"/>
      <c r="DH64"/>
      <c r="DI64"/>
      <c r="DJ64"/>
      <c r="DK64"/>
      <c r="DL64"/>
      <c r="DM64"/>
      <c r="DN64"/>
      <c r="DO64"/>
      <c r="DP64"/>
      <c r="DQ64"/>
      <c r="DR64"/>
      <c r="DS64"/>
      <c r="DT64"/>
      <c r="DU64"/>
      <c r="DV64"/>
      <c r="DW64"/>
    </row>
    <row r="65" spans="1:127" s="2" customFormat="1" x14ac:dyDescent="0.3">
      <c r="A65" s="5"/>
      <c r="C65"/>
      <c r="D65"/>
      <c r="E65"/>
      <c r="F65"/>
      <c r="G65"/>
      <c r="H65"/>
      <c r="I65"/>
      <c r="J65"/>
      <c r="K65"/>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c r="AW65"/>
      <c r="AX65"/>
      <c r="AY65"/>
      <c r="AZ65"/>
      <c r="BA65"/>
      <c r="BB65"/>
      <c r="BC65"/>
      <c r="BD65"/>
      <c r="BE65"/>
      <c r="BF65"/>
      <c r="BG65"/>
      <c r="BH65"/>
      <c r="BI65"/>
      <c r="BJ65"/>
      <c r="BK65"/>
      <c r="BL65"/>
      <c r="BM65"/>
      <c r="BN65"/>
      <c r="BO65"/>
      <c r="BP65"/>
      <c r="BQ65"/>
      <c r="BR65"/>
      <c r="BS65"/>
      <c r="BT65"/>
      <c r="BU65"/>
      <c r="BV65"/>
      <c r="BW65"/>
      <c r="BX65"/>
      <c r="BY65"/>
      <c r="BZ65"/>
      <c r="CA65"/>
      <c r="CB65"/>
      <c r="CC65"/>
      <c r="CD65"/>
      <c r="CE65"/>
      <c r="CF65"/>
      <c r="CG65"/>
      <c r="CH65"/>
      <c r="CI65"/>
      <c r="CJ65"/>
      <c r="CK65"/>
      <c r="CL65"/>
      <c r="CM65"/>
      <c r="CN65"/>
      <c r="CO65"/>
      <c r="CP65"/>
      <c r="CQ65"/>
      <c r="CR65"/>
      <c r="CS65"/>
      <c r="CT65"/>
      <c r="CU65"/>
      <c r="CV65"/>
      <c r="CW65"/>
      <c r="CX65"/>
      <c r="CY65"/>
      <c r="CZ65"/>
      <c r="DA65"/>
      <c r="DB65"/>
      <c r="DC65"/>
      <c r="DD65"/>
      <c r="DE65"/>
      <c r="DF65"/>
      <c r="DG65"/>
      <c r="DH65"/>
      <c r="DI65"/>
      <c r="DJ65"/>
      <c r="DK65"/>
      <c r="DL65"/>
      <c r="DM65"/>
      <c r="DN65"/>
      <c r="DO65"/>
      <c r="DP65"/>
      <c r="DQ65"/>
      <c r="DR65"/>
      <c r="DS65"/>
      <c r="DT65"/>
      <c r="DU65"/>
      <c r="DV65"/>
      <c r="DW65"/>
    </row>
    <row r="66" spans="1:127" s="2" customFormat="1" x14ac:dyDescent="0.3">
      <c r="A66" s="5"/>
      <c r="C66"/>
      <c r="D66"/>
      <c r="E66"/>
      <c r="F66"/>
      <c r="G66"/>
      <c r="H66"/>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X66"/>
      <c r="AY66"/>
      <c r="AZ66"/>
      <c r="BA66"/>
      <c r="BB66"/>
      <c r="BC66"/>
      <c r="BD66"/>
      <c r="BE66"/>
      <c r="BF66"/>
      <c r="BG66"/>
      <c r="BH66"/>
      <c r="BI66"/>
      <c r="BJ66"/>
      <c r="BK66"/>
      <c r="BL66"/>
      <c r="BM66"/>
      <c r="BN66"/>
      <c r="BO66"/>
      <c r="BP66"/>
      <c r="BQ66"/>
      <c r="BR66"/>
      <c r="BS66"/>
      <c r="BT66"/>
      <c r="BU66"/>
      <c r="BV66"/>
      <c r="BW66"/>
      <c r="BX66"/>
      <c r="BY66"/>
      <c r="BZ66"/>
      <c r="CA66"/>
      <c r="CB66"/>
      <c r="CC66"/>
      <c r="CD66"/>
      <c r="CE66"/>
      <c r="CF66"/>
      <c r="CG66"/>
      <c r="CH66"/>
      <c r="CI66"/>
      <c r="CJ66"/>
      <c r="CK66"/>
      <c r="CL66"/>
      <c r="CM66"/>
      <c r="CN66"/>
      <c r="CO66"/>
      <c r="CP66"/>
      <c r="CQ66"/>
      <c r="CR66"/>
      <c r="CS66"/>
      <c r="CT66"/>
      <c r="CU66"/>
      <c r="CV66"/>
      <c r="CW66"/>
      <c r="CX66"/>
      <c r="CY66"/>
      <c r="CZ66"/>
      <c r="DA66"/>
      <c r="DB66"/>
      <c r="DC66"/>
      <c r="DD66"/>
      <c r="DE66"/>
      <c r="DF66"/>
      <c r="DG66"/>
      <c r="DH66"/>
      <c r="DI66"/>
      <c r="DJ66"/>
      <c r="DK66"/>
      <c r="DL66"/>
      <c r="DM66"/>
      <c r="DN66"/>
      <c r="DO66"/>
      <c r="DP66"/>
      <c r="DQ66"/>
      <c r="DR66"/>
      <c r="DS66"/>
      <c r="DT66"/>
      <c r="DU66"/>
      <c r="DV66"/>
      <c r="DW66"/>
    </row>
    <row r="67" spans="1:127" s="2" customFormat="1" x14ac:dyDescent="0.3">
      <c r="A67" s="5"/>
      <c r="C67"/>
      <c r="D67"/>
      <c r="E67"/>
      <c r="F67"/>
      <c r="G67"/>
      <c r="H67"/>
      <c r="I67"/>
      <c r="J67"/>
      <c r="K67"/>
      <c r="L67"/>
      <c r="M67"/>
      <c r="N67"/>
      <c r="O67"/>
      <c r="P67"/>
      <c r="Q67"/>
      <c r="R67"/>
      <c r="S67"/>
      <c r="T67"/>
      <c r="U67"/>
      <c r="V67"/>
      <c r="W67"/>
      <c r="X67"/>
      <c r="Y67"/>
      <c r="Z67"/>
      <c r="AA67"/>
      <c r="AB67"/>
      <c r="AC67"/>
      <c r="AD67"/>
      <c r="AE67"/>
      <c r="AF67"/>
      <c r="AG67"/>
      <c r="AH67"/>
      <c r="AI67"/>
      <c r="AJ67"/>
      <c r="AK67"/>
      <c r="AL67"/>
      <c r="AM67"/>
      <c r="AN67"/>
      <c r="AO67"/>
      <c r="AP67"/>
      <c r="AQ67"/>
      <c r="AR67"/>
      <c r="AS67"/>
      <c r="AT67"/>
      <c r="AU67"/>
      <c r="AV67"/>
      <c r="AW67"/>
      <c r="AX67"/>
      <c r="AY67"/>
      <c r="AZ67"/>
      <c r="BA67"/>
      <c r="BB67"/>
      <c r="BC67"/>
      <c r="BD67"/>
      <c r="BE67"/>
      <c r="BF67"/>
      <c r="BG67"/>
      <c r="BH67"/>
      <c r="BI67"/>
      <c r="BJ67"/>
      <c r="BK67"/>
      <c r="BL67"/>
      <c r="BM67"/>
      <c r="BN67"/>
      <c r="BO67"/>
      <c r="BP67"/>
      <c r="BQ67"/>
      <c r="BR67"/>
      <c r="BS67"/>
      <c r="BT67"/>
      <c r="BU67"/>
      <c r="BV67"/>
      <c r="BW67"/>
      <c r="BX67"/>
      <c r="BY67"/>
      <c r="BZ67"/>
      <c r="CA67"/>
      <c r="CB67"/>
      <c r="CC67"/>
      <c r="CD67"/>
      <c r="CE67"/>
      <c r="CF67"/>
      <c r="CG67"/>
      <c r="CH67"/>
      <c r="CI67"/>
      <c r="CJ67"/>
      <c r="CK67"/>
      <c r="CL67"/>
      <c r="CM67"/>
      <c r="CN67"/>
      <c r="CO67"/>
      <c r="CP67"/>
      <c r="CQ67"/>
      <c r="CR67"/>
      <c r="CS67"/>
      <c r="CT67"/>
      <c r="CU67"/>
      <c r="CV67"/>
      <c r="CW67"/>
      <c r="CX67"/>
      <c r="CY67"/>
      <c r="CZ67"/>
      <c r="DA67"/>
      <c r="DB67"/>
      <c r="DC67"/>
      <c r="DD67"/>
      <c r="DE67"/>
      <c r="DF67"/>
      <c r="DG67"/>
      <c r="DH67"/>
      <c r="DI67"/>
      <c r="DJ67"/>
      <c r="DK67"/>
      <c r="DL67"/>
      <c r="DM67"/>
      <c r="DN67"/>
      <c r="DO67"/>
      <c r="DP67"/>
      <c r="DQ67"/>
      <c r="DR67"/>
      <c r="DS67"/>
      <c r="DT67"/>
      <c r="DU67"/>
      <c r="DV67"/>
      <c r="DW67"/>
    </row>
    <row r="68" spans="1:127" s="2" customFormat="1" x14ac:dyDescent="0.3">
      <c r="A68" s="5"/>
      <c r="C68"/>
      <c r="D68"/>
      <c r="E68"/>
      <c r="F68"/>
      <c r="G68"/>
      <c r="H68"/>
      <c r="I68"/>
      <c r="J68"/>
      <c r="K68"/>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X68"/>
      <c r="AY68"/>
      <c r="AZ68"/>
      <c r="BA68"/>
      <c r="BB68"/>
      <c r="BC68"/>
      <c r="BD68"/>
      <c r="BE68"/>
      <c r="BF68"/>
      <c r="BG68"/>
      <c r="BH68"/>
      <c r="BI68"/>
      <c r="BJ68"/>
      <c r="BK68"/>
      <c r="BL68"/>
      <c r="BM68"/>
      <c r="BN68"/>
      <c r="BO68"/>
      <c r="BP68"/>
      <c r="BQ68"/>
      <c r="BR68"/>
      <c r="BS68"/>
      <c r="BT68"/>
      <c r="BU68"/>
      <c r="BV68"/>
      <c r="BW68"/>
      <c r="BX68"/>
      <c r="BY68"/>
      <c r="BZ68"/>
      <c r="CA68"/>
      <c r="CB68"/>
      <c r="CC68"/>
      <c r="CD68"/>
      <c r="CE68"/>
      <c r="CF68"/>
      <c r="CG68"/>
      <c r="CH68"/>
      <c r="CI68"/>
      <c r="CJ68"/>
      <c r="CK68"/>
      <c r="CL68"/>
      <c r="CM68"/>
      <c r="CN68"/>
      <c r="CO68"/>
      <c r="CP68"/>
      <c r="CQ68"/>
      <c r="CR68"/>
      <c r="CS68"/>
      <c r="CT68"/>
      <c r="CU68"/>
      <c r="CV68"/>
      <c r="CW68"/>
      <c r="CX68"/>
      <c r="CY68"/>
      <c r="CZ68"/>
      <c r="DA68"/>
      <c r="DB68"/>
      <c r="DC68"/>
      <c r="DD68"/>
      <c r="DE68"/>
      <c r="DF68"/>
      <c r="DG68"/>
      <c r="DH68"/>
      <c r="DI68"/>
      <c r="DJ68"/>
      <c r="DK68"/>
      <c r="DL68"/>
      <c r="DM68"/>
      <c r="DN68"/>
      <c r="DO68"/>
      <c r="DP68"/>
      <c r="DQ68"/>
      <c r="DR68"/>
      <c r="DS68"/>
      <c r="DT68"/>
      <c r="DU68"/>
      <c r="DV68"/>
      <c r="DW68"/>
    </row>
    <row r="69" spans="1:127" s="2" customFormat="1" x14ac:dyDescent="0.3">
      <c r="A69" s="5"/>
      <c r="C69"/>
      <c r="D69"/>
      <c r="E69"/>
      <c r="F69"/>
      <c r="G69"/>
      <c r="H69"/>
      <c r="I69"/>
      <c r="J69"/>
      <c r="K69"/>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c r="AW69"/>
      <c r="AX69"/>
      <c r="AY69"/>
      <c r="AZ69"/>
      <c r="BA69"/>
      <c r="BB69"/>
      <c r="BC69"/>
      <c r="BD69"/>
      <c r="BE69"/>
      <c r="BF69"/>
      <c r="BG69"/>
      <c r="BH69"/>
      <c r="BI69"/>
      <c r="BJ69"/>
      <c r="BK69"/>
      <c r="BL69"/>
      <c r="BM69"/>
      <c r="BN69"/>
      <c r="BO69"/>
      <c r="BP69"/>
      <c r="BQ69"/>
      <c r="BR69"/>
      <c r="BS69"/>
      <c r="BT69"/>
      <c r="BU69"/>
      <c r="BV69"/>
      <c r="BW69"/>
      <c r="BX69"/>
      <c r="BY69"/>
      <c r="BZ69"/>
      <c r="CA69"/>
      <c r="CB69"/>
      <c r="CC69"/>
      <c r="CD69"/>
      <c r="CE69"/>
      <c r="CF69"/>
      <c r="CG69"/>
      <c r="CH69"/>
      <c r="CI69"/>
      <c r="CJ69"/>
      <c r="CK69"/>
      <c r="CL69"/>
      <c r="CM69"/>
      <c r="CN69"/>
      <c r="CO69"/>
      <c r="CP69"/>
      <c r="CQ69"/>
      <c r="CR69"/>
      <c r="CS69"/>
      <c r="CT69"/>
      <c r="CU69"/>
      <c r="CV69"/>
      <c r="CW69"/>
      <c r="CX69"/>
      <c r="CY69"/>
      <c r="CZ69"/>
      <c r="DA69"/>
      <c r="DB69"/>
      <c r="DC69"/>
      <c r="DD69"/>
      <c r="DE69"/>
      <c r="DF69"/>
      <c r="DG69"/>
      <c r="DH69"/>
      <c r="DI69"/>
      <c r="DJ69"/>
      <c r="DK69"/>
      <c r="DL69"/>
      <c r="DM69"/>
      <c r="DN69"/>
      <c r="DO69"/>
      <c r="DP69"/>
      <c r="DQ69"/>
      <c r="DR69"/>
      <c r="DS69"/>
      <c r="DT69"/>
      <c r="DU69"/>
      <c r="DV69"/>
      <c r="DW69"/>
    </row>
    <row r="70" spans="1:127" s="2" customFormat="1" x14ac:dyDescent="0.3">
      <c r="A70" s="5"/>
      <c r="C70"/>
      <c r="D70"/>
      <c r="E70"/>
      <c r="F70"/>
      <c r="G70"/>
      <c r="H70"/>
      <c r="I70"/>
      <c r="J70"/>
      <c r="K70"/>
      <c r="L70"/>
      <c r="M70"/>
      <c r="N70"/>
      <c r="O70"/>
      <c r="P70"/>
      <c r="Q70"/>
      <c r="R70"/>
      <c r="S70"/>
      <c r="T70"/>
      <c r="U70"/>
      <c r="V70"/>
      <c r="W70"/>
      <c r="X70"/>
      <c r="Y70"/>
      <c r="Z70"/>
      <c r="AA70"/>
      <c r="AB70"/>
      <c r="AC70"/>
      <c r="AD70"/>
      <c r="AE70"/>
      <c r="AF70"/>
      <c r="AG70"/>
      <c r="AH70"/>
      <c r="AI70"/>
      <c r="AJ70"/>
      <c r="AK70"/>
      <c r="AL70"/>
      <c r="AM70"/>
      <c r="AN70"/>
      <c r="AO70"/>
      <c r="AP70"/>
      <c r="AQ70"/>
      <c r="AR70"/>
      <c r="AS70"/>
      <c r="AT70"/>
      <c r="AU70"/>
      <c r="AV70"/>
      <c r="AW70"/>
      <c r="AX70"/>
      <c r="AY70"/>
      <c r="AZ70"/>
      <c r="BA70"/>
      <c r="BB70"/>
      <c r="BC70"/>
      <c r="BD70"/>
      <c r="BE70"/>
      <c r="BF70"/>
      <c r="BG70"/>
      <c r="BH70"/>
      <c r="BI70"/>
      <c r="BJ70"/>
      <c r="BK70"/>
      <c r="BL70"/>
      <c r="BM70"/>
      <c r="BN70"/>
      <c r="BO70"/>
      <c r="BP70"/>
      <c r="BQ70"/>
      <c r="BR70"/>
      <c r="BS70"/>
      <c r="BT70"/>
      <c r="BU70"/>
      <c r="BV70"/>
      <c r="BW70"/>
      <c r="BX70"/>
      <c r="BY70"/>
      <c r="BZ70"/>
      <c r="CA70"/>
      <c r="CB70"/>
      <c r="CC70"/>
      <c r="CD70"/>
      <c r="CE70"/>
      <c r="CF70"/>
      <c r="CG70"/>
      <c r="CH70"/>
      <c r="CI70"/>
      <c r="CJ70"/>
      <c r="CK70"/>
      <c r="CL70"/>
      <c r="CM70"/>
      <c r="CN70"/>
      <c r="CO70"/>
      <c r="CP70"/>
      <c r="CQ70"/>
      <c r="CR70"/>
      <c r="CS70"/>
      <c r="CT70"/>
      <c r="CU70"/>
      <c r="CV70"/>
      <c r="CW70"/>
      <c r="CX70"/>
      <c r="CY70"/>
      <c r="CZ70"/>
      <c r="DA70"/>
      <c r="DB70"/>
      <c r="DC70"/>
      <c r="DD70"/>
      <c r="DE70"/>
      <c r="DF70"/>
      <c r="DG70"/>
      <c r="DH70"/>
      <c r="DI70"/>
      <c r="DJ70"/>
      <c r="DK70"/>
      <c r="DL70"/>
      <c r="DM70"/>
      <c r="DN70"/>
      <c r="DO70"/>
      <c r="DP70"/>
      <c r="DQ70"/>
      <c r="DR70"/>
      <c r="DS70"/>
      <c r="DT70"/>
      <c r="DU70"/>
      <c r="DV70"/>
      <c r="DW70"/>
    </row>
    <row r="71" spans="1:127" s="2" customFormat="1" x14ac:dyDescent="0.3">
      <c r="A71" s="5"/>
      <c r="C71"/>
      <c r="D71"/>
      <c r="E71"/>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c r="AY71"/>
      <c r="AZ71"/>
      <c r="BA71"/>
      <c r="BB71"/>
      <c r="BC71"/>
      <c r="BD71"/>
      <c r="BE71"/>
      <c r="BF71"/>
      <c r="BG71"/>
      <c r="BH71"/>
      <c r="BI71"/>
      <c r="BJ71"/>
      <c r="BK71"/>
      <c r="BL71"/>
      <c r="BM71"/>
      <c r="BN71"/>
      <c r="BO71"/>
      <c r="BP71"/>
      <c r="BQ71"/>
      <c r="BR71"/>
      <c r="BS71"/>
      <c r="BT71"/>
      <c r="BU71"/>
      <c r="BV71"/>
      <c r="BW71"/>
      <c r="BX71"/>
      <c r="BY71"/>
      <c r="BZ71"/>
      <c r="CA71"/>
      <c r="CB71"/>
      <c r="CC71"/>
      <c r="CD71"/>
      <c r="CE71"/>
      <c r="CF71"/>
      <c r="CG71"/>
      <c r="CH71"/>
      <c r="CI71"/>
      <c r="CJ71"/>
      <c r="CK71"/>
      <c r="CL71"/>
      <c r="CM71"/>
      <c r="CN71"/>
      <c r="CO71"/>
      <c r="CP71"/>
      <c r="CQ71"/>
      <c r="CR71"/>
      <c r="CS71"/>
      <c r="CT71"/>
      <c r="CU71"/>
      <c r="CV71"/>
      <c r="CW71"/>
      <c r="CX71"/>
      <c r="CY71"/>
      <c r="CZ71"/>
      <c r="DA71"/>
      <c r="DB71"/>
      <c r="DC71"/>
      <c r="DD71"/>
      <c r="DE71"/>
      <c r="DF71"/>
      <c r="DG71"/>
      <c r="DH71"/>
      <c r="DI71"/>
      <c r="DJ71"/>
      <c r="DK71"/>
      <c r="DL71"/>
      <c r="DM71"/>
      <c r="DN71"/>
      <c r="DO71"/>
      <c r="DP71"/>
      <c r="DQ71"/>
      <c r="DR71"/>
      <c r="DS71"/>
      <c r="DT71"/>
      <c r="DU71"/>
      <c r="DV71"/>
      <c r="DW71"/>
    </row>
    <row r="72" spans="1:127" s="2" customFormat="1" x14ac:dyDescent="0.3">
      <c r="A72" s="5"/>
      <c r="C72"/>
      <c r="D72"/>
      <c r="E72"/>
      <c r="F72"/>
      <c r="G72"/>
      <c r="H72"/>
      <c r="I72"/>
      <c r="J72"/>
      <c r="K72"/>
      <c r="L72"/>
      <c r="M72"/>
      <c r="N72"/>
      <c r="O72"/>
      <c r="P72"/>
      <c r="Q72"/>
      <c r="R72"/>
      <c r="S72"/>
      <c r="T72"/>
      <c r="U72"/>
      <c r="V72"/>
      <c r="W72"/>
      <c r="X72"/>
      <c r="Y72"/>
      <c r="Z72"/>
      <c r="AA72"/>
      <c r="AB72"/>
      <c r="AC72"/>
      <c r="AD72"/>
      <c r="AE72"/>
      <c r="AF72"/>
      <c r="AG72"/>
      <c r="AH72"/>
      <c r="AI72"/>
      <c r="AJ72"/>
      <c r="AK72"/>
      <c r="AL72"/>
      <c r="AM72"/>
      <c r="AN72"/>
      <c r="AO72"/>
      <c r="AP72"/>
      <c r="AQ72"/>
      <c r="AR72"/>
      <c r="AS72"/>
      <c r="AT72"/>
      <c r="AU72"/>
      <c r="AV72"/>
      <c r="AW72"/>
      <c r="AX72"/>
      <c r="AY72"/>
      <c r="AZ72"/>
      <c r="BA72"/>
      <c r="BB72"/>
      <c r="BC72"/>
      <c r="BD72"/>
      <c r="BE72"/>
      <c r="BF72"/>
      <c r="BG72"/>
      <c r="BH72"/>
      <c r="BI72"/>
      <c r="BJ72"/>
      <c r="BK72"/>
      <c r="BL72"/>
      <c r="BM72"/>
      <c r="BN72"/>
      <c r="BO72"/>
      <c r="BP72"/>
      <c r="BQ72"/>
      <c r="BR72"/>
      <c r="BS72"/>
      <c r="BT72"/>
      <c r="BU72"/>
      <c r="BV72"/>
      <c r="BW72"/>
      <c r="BX72"/>
      <c r="BY72"/>
      <c r="BZ72"/>
      <c r="CA72"/>
      <c r="CB72"/>
      <c r="CC72"/>
      <c r="CD72"/>
      <c r="CE72"/>
      <c r="CF72"/>
      <c r="CG72"/>
      <c r="CH72"/>
      <c r="CI72"/>
      <c r="CJ72"/>
      <c r="CK72"/>
      <c r="CL72"/>
      <c r="CM72"/>
      <c r="CN72"/>
      <c r="CO72"/>
      <c r="CP72"/>
      <c r="CQ72"/>
      <c r="CR72"/>
      <c r="CS72"/>
      <c r="CT72"/>
      <c r="CU72"/>
      <c r="CV72"/>
      <c r="CW72"/>
      <c r="CX72"/>
      <c r="CY72"/>
      <c r="CZ72"/>
      <c r="DA72"/>
      <c r="DB72"/>
      <c r="DC72"/>
      <c r="DD72"/>
      <c r="DE72"/>
      <c r="DF72"/>
      <c r="DG72"/>
      <c r="DH72"/>
      <c r="DI72"/>
      <c r="DJ72"/>
      <c r="DK72"/>
      <c r="DL72"/>
      <c r="DM72"/>
      <c r="DN72"/>
      <c r="DO72"/>
      <c r="DP72"/>
      <c r="DQ72"/>
      <c r="DR72"/>
      <c r="DS72"/>
      <c r="DT72"/>
      <c r="DU72"/>
      <c r="DV72"/>
      <c r="DW72"/>
    </row>
    <row r="73" spans="1:127" s="2" customFormat="1" x14ac:dyDescent="0.3">
      <c r="A73" s="5"/>
      <c r="C73"/>
      <c r="D73"/>
      <c r="E73"/>
      <c r="F73"/>
      <c r="G73"/>
      <c r="H73"/>
      <c r="I73"/>
      <c r="J73"/>
      <c r="K73"/>
      <c r="L73"/>
      <c r="M73"/>
      <c r="N73"/>
      <c r="O73"/>
      <c r="P73"/>
      <c r="Q73"/>
      <c r="R73"/>
      <c r="S73"/>
      <c r="T73"/>
      <c r="U73"/>
      <c r="V73"/>
      <c r="W73"/>
      <c r="X73"/>
      <c r="Y73"/>
      <c r="Z73"/>
      <c r="AA73"/>
      <c r="AB73"/>
      <c r="AC73"/>
      <c r="AD73"/>
      <c r="AE73"/>
      <c r="AF73"/>
      <c r="AG73"/>
      <c r="AH73"/>
      <c r="AI73"/>
      <c r="AJ73"/>
      <c r="AK73"/>
      <c r="AL73"/>
      <c r="AM73"/>
      <c r="AN73"/>
      <c r="AO73"/>
      <c r="AP73"/>
      <c r="AQ73"/>
      <c r="AR73"/>
      <c r="AS73"/>
      <c r="AT73"/>
      <c r="AU73"/>
      <c r="AV73"/>
      <c r="AW73"/>
      <c r="AX73"/>
      <c r="AY73"/>
      <c r="AZ73"/>
      <c r="BA73"/>
      <c r="BB73"/>
      <c r="BC73"/>
      <c r="BD73"/>
      <c r="BE73"/>
      <c r="BF73"/>
      <c r="BG73"/>
      <c r="BH73"/>
      <c r="BI73"/>
      <c r="BJ73"/>
      <c r="BK73"/>
      <c r="BL73"/>
      <c r="BM73"/>
      <c r="BN73"/>
      <c r="BO73"/>
      <c r="BP73"/>
      <c r="BQ73"/>
      <c r="BR73"/>
      <c r="BS73"/>
      <c r="BT73"/>
      <c r="BU73"/>
      <c r="BV73"/>
      <c r="BW73"/>
      <c r="BX73"/>
      <c r="BY73"/>
      <c r="BZ73"/>
      <c r="CA73"/>
      <c r="CB73"/>
      <c r="CC73"/>
      <c r="CD73"/>
      <c r="CE73"/>
      <c r="CF73"/>
      <c r="CG73"/>
      <c r="CH73"/>
      <c r="CI73"/>
      <c r="CJ73"/>
      <c r="CK73"/>
      <c r="CL73"/>
      <c r="CM73"/>
      <c r="CN73"/>
      <c r="CO73"/>
      <c r="CP73"/>
      <c r="CQ73"/>
      <c r="CR73"/>
      <c r="CS73"/>
      <c r="CT73"/>
      <c r="CU73"/>
      <c r="CV73"/>
      <c r="CW73"/>
      <c r="CX73"/>
      <c r="CY73"/>
      <c r="CZ73"/>
      <c r="DA73"/>
      <c r="DB73"/>
      <c r="DC73"/>
      <c r="DD73"/>
      <c r="DE73"/>
      <c r="DF73"/>
      <c r="DG73"/>
      <c r="DH73"/>
      <c r="DI73"/>
      <c r="DJ73"/>
      <c r="DK73"/>
      <c r="DL73"/>
      <c r="DM73"/>
      <c r="DN73"/>
      <c r="DO73"/>
      <c r="DP73"/>
      <c r="DQ73"/>
      <c r="DR73"/>
      <c r="DS73"/>
      <c r="DT73"/>
      <c r="DU73"/>
      <c r="DV73"/>
      <c r="DW73"/>
    </row>
    <row r="74" spans="1:127" s="2" customFormat="1" x14ac:dyDescent="0.3">
      <c r="A74" s="5"/>
      <c r="C74"/>
      <c r="D74"/>
      <c r="E74"/>
      <c r="F74"/>
      <c r="G74"/>
      <c r="H74"/>
      <c r="I74"/>
      <c r="J74"/>
      <c r="K74"/>
      <c r="L74"/>
      <c r="M74"/>
      <c r="N74"/>
      <c r="O74"/>
      <c r="P74"/>
      <c r="Q74"/>
      <c r="R74"/>
      <c r="S74"/>
      <c r="T74"/>
      <c r="U74"/>
      <c r="V74"/>
      <c r="W74"/>
      <c r="X74"/>
      <c r="Y74"/>
      <c r="Z74"/>
      <c r="AA74"/>
      <c r="AB74"/>
      <c r="AC74"/>
      <c r="AD74"/>
      <c r="AE74"/>
      <c r="AF74"/>
      <c r="AG74"/>
      <c r="AH74"/>
      <c r="AI74"/>
      <c r="AJ74"/>
      <c r="AK74"/>
      <c r="AL74"/>
      <c r="AM74"/>
      <c r="AN74"/>
      <c r="AO74"/>
      <c r="AP74"/>
      <c r="AQ74"/>
      <c r="AR74"/>
      <c r="AS74"/>
      <c r="AT74"/>
      <c r="AU74"/>
      <c r="AV74"/>
      <c r="AW74"/>
      <c r="AX74"/>
      <c r="AY74"/>
      <c r="AZ74"/>
      <c r="BA74"/>
      <c r="BB74"/>
      <c r="BC74"/>
      <c r="BD74"/>
      <c r="BE74"/>
      <c r="BF74"/>
      <c r="BG74"/>
      <c r="BH74"/>
      <c r="BI74"/>
      <c r="BJ74"/>
      <c r="BK74"/>
      <c r="BL74"/>
      <c r="BM74"/>
      <c r="BN74"/>
      <c r="BO74"/>
      <c r="BP74"/>
      <c r="BQ74"/>
      <c r="BR74"/>
      <c r="BS74"/>
      <c r="BT74"/>
      <c r="BU74"/>
      <c r="BV74"/>
      <c r="BW74"/>
      <c r="BX74"/>
      <c r="BY74"/>
      <c r="BZ74"/>
      <c r="CA74"/>
      <c r="CB74"/>
      <c r="CC74"/>
      <c r="CD74"/>
      <c r="CE74"/>
      <c r="CF74"/>
      <c r="CG74"/>
      <c r="CH74"/>
      <c r="CI74"/>
      <c r="CJ74"/>
      <c r="CK74"/>
      <c r="CL74"/>
      <c r="CM74"/>
      <c r="CN74"/>
      <c r="CO74"/>
      <c r="CP74"/>
      <c r="CQ74"/>
      <c r="CR74"/>
      <c r="CS74"/>
      <c r="CT74"/>
      <c r="CU74"/>
      <c r="CV74"/>
      <c r="CW74"/>
      <c r="CX74"/>
      <c r="CY74"/>
      <c r="CZ74"/>
      <c r="DA74"/>
      <c r="DB74"/>
      <c r="DC74"/>
      <c r="DD74"/>
      <c r="DE74"/>
      <c r="DF74"/>
      <c r="DG74"/>
      <c r="DH74"/>
      <c r="DI74"/>
      <c r="DJ74"/>
      <c r="DK74"/>
      <c r="DL74"/>
      <c r="DM74"/>
      <c r="DN74"/>
      <c r="DO74"/>
      <c r="DP74"/>
      <c r="DQ74"/>
      <c r="DR74"/>
      <c r="DS74"/>
      <c r="DT74"/>
      <c r="DU74"/>
      <c r="DV74"/>
      <c r="DW74"/>
    </row>
    <row r="75" spans="1:127" s="2" customFormat="1" x14ac:dyDescent="0.3">
      <c r="A75" s="5"/>
      <c r="C75"/>
      <c r="D75"/>
      <c r="E75"/>
      <c r="F75"/>
      <c r="G75"/>
      <c r="H75"/>
      <c r="I75"/>
      <c r="J75"/>
      <c r="K75"/>
      <c r="L75"/>
      <c r="M75"/>
      <c r="N75"/>
      <c r="O75"/>
      <c r="P75"/>
      <c r="Q75"/>
      <c r="R75"/>
      <c r="S75"/>
      <c r="T75"/>
      <c r="U75"/>
      <c r="V75"/>
      <c r="W75"/>
      <c r="X75"/>
      <c r="Y75"/>
      <c r="Z75"/>
      <c r="AA75"/>
      <c r="AB75"/>
      <c r="AC75"/>
      <c r="AD75"/>
      <c r="AE75"/>
      <c r="AF75"/>
      <c r="AG75"/>
      <c r="AH75"/>
      <c r="AI75"/>
      <c r="AJ75"/>
      <c r="AK75"/>
      <c r="AL75"/>
      <c r="AM75"/>
      <c r="AN75"/>
      <c r="AO75"/>
      <c r="AP75"/>
      <c r="AQ75"/>
      <c r="AR75"/>
      <c r="AS75"/>
      <c r="AT75"/>
      <c r="AU75"/>
      <c r="AV75"/>
      <c r="AW75"/>
      <c r="AX75"/>
      <c r="AY75"/>
      <c r="AZ75"/>
      <c r="BA75"/>
      <c r="BB75"/>
      <c r="BC75"/>
      <c r="BD75"/>
      <c r="BE75"/>
      <c r="BF75"/>
      <c r="BG75"/>
      <c r="BH75"/>
      <c r="BI75"/>
      <c r="BJ75"/>
      <c r="BK75"/>
      <c r="BL75"/>
      <c r="BM75"/>
      <c r="BN75"/>
      <c r="BO75"/>
      <c r="BP75"/>
      <c r="BQ75"/>
      <c r="BR75"/>
      <c r="BS75"/>
      <c r="BT75"/>
      <c r="BU75"/>
      <c r="BV75"/>
      <c r="BW75"/>
      <c r="BX75"/>
      <c r="BY75"/>
      <c r="BZ75"/>
      <c r="CA75"/>
      <c r="CB75"/>
      <c r="CC75"/>
      <c r="CD75"/>
      <c r="CE75"/>
      <c r="CF75"/>
      <c r="CG75"/>
      <c r="CH75"/>
      <c r="CI75"/>
      <c r="CJ75"/>
      <c r="CK75"/>
      <c r="CL75"/>
      <c r="CM75"/>
      <c r="CN75"/>
      <c r="CO75"/>
      <c r="CP75"/>
      <c r="CQ75"/>
      <c r="CR75"/>
      <c r="CS75"/>
      <c r="CT75"/>
      <c r="CU75"/>
      <c r="CV75"/>
      <c r="CW75"/>
      <c r="CX75"/>
      <c r="CY75"/>
      <c r="CZ75"/>
      <c r="DA75"/>
      <c r="DB75"/>
      <c r="DC75"/>
      <c r="DD75"/>
      <c r="DE75"/>
      <c r="DF75"/>
      <c r="DG75"/>
      <c r="DH75"/>
      <c r="DI75"/>
      <c r="DJ75"/>
      <c r="DK75"/>
      <c r="DL75"/>
      <c r="DM75"/>
      <c r="DN75"/>
      <c r="DO75"/>
      <c r="DP75"/>
      <c r="DQ75"/>
      <c r="DR75"/>
      <c r="DS75"/>
      <c r="DT75"/>
      <c r="DU75"/>
      <c r="DV75"/>
      <c r="DW75"/>
    </row>
    <row r="76" spans="1:127" s="2" customFormat="1" x14ac:dyDescent="0.3">
      <c r="A76" s="5"/>
      <c r="C76"/>
      <c r="D76"/>
      <c r="E76"/>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c r="AY76"/>
      <c r="AZ76"/>
      <c r="BA76"/>
      <c r="BB76"/>
      <c r="BC76"/>
      <c r="BD76"/>
      <c r="BE76"/>
      <c r="BF76"/>
      <c r="BG76"/>
      <c r="BH76"/>
      <c r="BI76"/>
      <c r="BJ76"/>
      <c r="BK76"/>
      <c r="BL76"/>
      <c r="BM76"/>
      <c r="BN76"/>
      <c r="BO76"/>
      <c r="BP76"/>
      <c r="BQ76"/>
      <c r="BR76"/>
      <c r="BS76"/>
      <c r="BT76"/>
      <c r="BU76"/>
      <c r="BV76"/>
      <c r="BW76"/>
      <c r="BX76"/>
      <c r="BY76"/>
      <c r="BZ76"/>
      <c r="CA76"/>
      <c r="CB76"/>
      <c r="CC76"/>
      <c r="CD76"/>
      <c r="CE76"/>
      <c r="CF76"/>
      <c r="CG76"/>
      <c r="CH76"/>
      <c r="CI76"/>
      <c r="CJ76"/>
      <c r="CK76"/>
      <c r="CL76"/>
      <c r="CM76"/>
      <c r="CN76"/>
      <c r="CO76"/>
      <c r="CP76"/>
      <c r="CQ76"/>
      <c r="CR76"/>
      <c r="CS76"/>
      <c r="CT76"/>
      <c r="CU76"/>
      <c r="CV76"/>
      <c r="CW76"/>
      <c r="CX76"/>
      <c r="CY76"/>
      <c r="CZ76"/>
      <c r="DA76"/>
      <c r="DB76"/>
      <c r="DC76"/>
      <c r="DD76"/>
      <c r="DE76"/>
      <c r="DF76"/>
      <c r="DG76"/>
      <c r="DH76"/>
      <c r="DI76"/>
      <c r="DJ76"/>
      <c r="DK76"/>
      <c r="DL76"/>
      <c r="DM76"/>
      <c r="DN76"/>
      <c r="DO76"/>
      <c r="DP76"/>
      <c r="DQ76"/>
      <c r="DR76"/>
      <c r="DS76"/>
      <c r="DT76"/>
      <c r="DU76"/>
      <c r="DV76"/>
      <c r="DW76"/>
    </row>
    <row r="77" spans="1:127" s="2" customFormat="1" x14ac:dyDescent="0.3">
      <c r="A77" s="5"/>
      <c r="C77"/>
      <c r="D77"/>
      <c r="E77"/>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c r="AZ77"/>
      <c r="BA77"/>
      <c r="BB77"/>
      <c r="BC77"/>
      <c r="BD77"/>
      <c r="BE77"/>
      <c r="BF77"/>
      <c r="BG77"/>
      <c r="BH77"/>
      <c r="BI77"/>
      <c r="BJ77"/>
      <c r="BK77"/>
      <c r="BL77"/>
      <c r="BM77"/>
      <c r="BN77"/>
      <c r="BO77"/>
      <c r="BP77"/>
      <c r="BQ77"/>
      <c r="BR77"/>
      <c r="BS77"/>
      <c r="BT77"/>
      <c r="BU77"/>
      <c r="BV77"/>
      <c r="BW77"/>
      <c r="BX77"/>
      <c r="BY77"/>
      <c r="BZ77"/>
      <c r="CA77"/>
      <c r="CB77"/>
      <c r="CC77"/>
      <c r="CD77"/>
      <c r="CE77"/>
      <c r="CF77"/>
      <c r="CG77"/>
      <c r="CH77"/>
      <c r="CI77"/>
      <c r="CJ77"/>
      <c r="CK77"/>
      <c r="CL77"/>
      <c r="CM77"/>
      <c r="CN77"/>
      <c r="CO77"/>
      <c r="CP77"/>
      <c r="CQ77"/>
      <c r="CR77"/>
      <c r="CS77"/>
      <c r="CT77"/>
      <c r="CU77"/>
      <c r="CV77"/>
      <c r="CW77"/>
      <c r="CX77"/>
      <c r="CY77"/>
      <c r="CZ77"/>
      <c r="DA77"/>
      <c r="DB77"/>
      <c r="DC77"/>
      <c r="DD77"/>
      <c r="DE77"/>
      <c r="DF77"/>
      <c r="DG77"/>
      <c r="DH77"/>
      <c r="DI77"/>
      <c r="DJ77"/>
      <c r="DK77"/>
      <c r="DL77"/>
      <c r="DM77"/>
      <c r="DN77"/>
      <c r="DO77"/>
      <c r="DP77"/>
      <c r="DQ77"/>
      <c r="DR77"/>
      <c r="DS77"/>
      <c r="DT77"/>
      <c r="DU77"/>
      <c r="DV77"/>
      <c r="DW77"/>
    </row>
    <row r="78" spans="1:127" s="2" customFormat="1" x14ac:dyDescent="0.3">
      <c r="A78" s="5"/>
      <c r="C78"/>
      <c r="D78"/>
      <c r="E78"/>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c r="AZ78"/>
      <c r="BA78"/>
      <c r="BB78"/>
      <c r="BC78"/>
      <c r="BD78"/>
      <c r="BE78"/>
      <c r="BF78"/>
      <c r="BG78"/>
      <c r="BH78"/>
      <c r="BI78"/>
      <c r="BJ78"/>
      <c r="BK78"/>
      <c r="BL78"/>
      <c r="BM78"/>
      <c r="BN78"/>
      <c r="BO78"/>
      <c r="BP78"/>
      <c r="BQ78"/>
      <c r="BR78"/>
      <c r="BS78"/>
      <c r="BT78"/>
      <c r="BU78"/>
      <c r="BV78"/>
      <c r="BW78"/>
      <c r="BX78"/>
      <c r="BY78"/>
      <c r="BZ78"/>
      <c r="CA78"/>
      <c r="CB78"/>
      <c r="CC78"/>
      <c r="CD78"/>
      <c r="CE78"/>
      <c r="CF78"/>
      <c r="CG78"/>
      <c r="CH78"/>
      <c r="CI78"/>
      <c r="CJ78"/>
      <c r="CK78"/>
      <c r="CL78"/>
      <c r="CM78"/>
      <c r="CN78"/>
      <c r="CO78"/>
      <c r="CP78"/>
      <c r="CQ78"/>
      <c r="CR78"/>
      <c r="CS78"/>
      <c r="CT78"/>
      <c r="CU78"/>
      <c r="CV78"/>
      <c r="CW78"/>
      <c r="CX78"/>
      <c r="CY78"/>
      <c r="CZ78"/>
      <c r="DA78"/>
      <c r="DB78"/>
      <c r="DC78"/>
      <c r="DD78"/>
      <c r="DE78"/>
      <c r="DF78"/>
      <c r="DG78"/>
      <c r="DH78"/>
      <c r="DI78"/>
      <c r="DJ78"/>
      <c r="DK78"/>
      <c r="DL78"/>
      <c r="DM78"/>
      <c r="DN78"/>
      <c r="DO78"/>
      <c r="DP78"/>
      <c r="DQ78"/>
      <c r="DR78"/>
      <c r="DS78"/>
      <c r="DT78"/>
      <c r="DU78"/>
      <c r="DV78"/>
      <c r="DW78"/>
    </row>
    <row r="79" spans="1:127" s="2" customFormat="1" x14ac:dyDescent="0.3">
      <c r="A79" s="5"/>
      <c r="C79"/>
      <c r="D79"/>
      <c r="E79"/>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c r="AZ79"/>
      <c r="BA79"/>
      <c r="BB79"/>
      <c r="BC79"/>
      <c r="BD79"/>
      <c r="BE79"/>
      <c r="BF79"/>
      <c r="BG79"/>
      <c r="BH79"/>
      <c r="BI79"/>
      <c r="BJ79"/>
      <c r="BK79"/>
      <c r="BL79"/>
      <c r="BM79"/>
      <c r="BN79"/>
      <c r="BO79"/>
      <c r="BP79"/>
      <c r="BQ79"/>
      <c r="BR79"/>
      <c r="BS79"/>
      <c r="BT79"/>
      <c r="BU79"/>
      <c r="BV79"/>
      <c r="BW79"/>
      <c r="BX79"/>
      <c r="BY79"/>
      <c r="BZ79"/>
      <c r="CA79"/>
      <c r="CB79"/>
      <c r="CC79"/>
      <c r="CD79"/>
      <c r="CE79"/>
      <c r="CF79"/>
      <c r="CG79"/>
      <c r="CH79"/>
      <c r="CI79"/>
      <c r="CJ79"/>
      <c r="CK79"/>
      <c r="CL79"/>
      <c r="CM79"/>
      <c r="CN79"/>
      <c r="CO79"/>
      <c r="CP79"/>
      <c r="CQ79"/>
      <c r="CR79"/>
      <c r="CS79"/>
      <c r="CT79"/>
      <c r="CU79"/>
      <c r="CV79"/>
      <c r="CW79"/>
      <c r="CX79"/>
      <c r="CY79"/>
      <c r="CZ79"/>
      <c r="DA79"/>
      <c r="DB79"/>
      <c r="DC79"/>
      <c r="DD79"/>
      <c r="DE79"/>
      <c r="DF79"/>
      <c r="DG79"/>
      <c r="DH79"/>
      <c r="DI79"/>
      <c r="DJ79"/>
      <c r="DK79"/>
      <c r="DL79"/>
      <c r="DM79"/>
      <c r="DN79"/>
      <c r="DO79"/>
      <c r="DP79"/>
      <c r="DQ79"/>
      <c r="DR79"/>
      <c r="DS79"/>
      <c r="DT79"/>
      <c r="DU79"/>
      <c r="DV79"/>
      <c r="DW79"/>
    </row>
    <row r="80" spans="1:127" s="2" customFormat="1" x14ac:dyDescent="0.3">
      <c r="A80" s="5"/>
      <c r="C80"/>
      <c r="D80"/>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c r="BL80"/>
      <c r="BM80"/>
      <c r="BN80"/>
      <c r="BO80"/>
      <c r="BP80"/>
      <c r="BQ80"/>
      <c r="BR80"/>
      <c r="BS80"/>
      <c r="BT80"/>
      <c r="BU80"/>
      <c r="BV80"/>
      <c r="BW80"/>
      <c r="BX80"/>
      <c r="BY80"/>
      <c r="BZ80"/>
      <c r="CA80"/>
      <c r="CB80"/>
      <c r="CC80"/>
      <c r="CD80"/>
      <c r="CE80"/>
      <c r="CF80"/>
      <c r="CG80"/>
      <c r="CH80"/>
      <c r="CI80"/>
      <c r="CJ80"/>
      <c r="CK80"/>
      <c r="CL80"/>
      <c r="CM80"/>
      <c r="CN80"/>
      <c r="CO80"/>
      <c r="CP80"/>
      <c r="CQ80"/>
      <c r="CR80"/>
      <c r="CS80"/>
      <c r="CT80"/>
      <c r="CU80"/>
      <c r="CV80"/>
      <c r="CW80"/>
      <c r="CX80"/>
      <c r="CY80"/>
      <c r="CZ80"/>
      <c r="DA80"/>
      <c r="DB80"/>
      <c r="DC80"/>
      <c r="DD80"/>
      <c r="DE80"/>
      <c r="DF80"/>
      <c r="DG80"/>
      <c r="DH80"/>
      <c r="DI80"/>
      <c r="DJ80"/>
      <c r="DK80"/>
      <c r="DL80"/>
      <c r="DM80"/>
      <c r="DN80"/>
      <c r="DO80"/>
      <c r="DP80"/>
      <c r="DQ80"/>
      <c r="DR80"/>
      <c r="DS80"/>
      <c r="DT80"/>
      <c r="DU80"/>
      <c r="DV80"/>
      <c r="DW80"/>
    </row>
    <row r="81" spans="1:127" s="2" customFormat="1" x14ac:dyDescent="0.3">
      <c r="A81" s="5"/>
      <c r="C81"/>
      <c r="D81"/>
      <c r="E81"/>
      <c r="F81"/>
      <c r="G81"/>
      <c r="H81"/>
      <c r="I81"/>
      <c r="J81"/>
      <c r="K81"/>
      <c r="L81"/>
      <c r="M81"/>
      <c r="N81"/>
      <c r="O81"/>
      <c r="P81"/>
      <c r="Q81"/>
      <c r="R81"/>
      <c r="S81"/>
      <c r="T81"/>
      <c r="U81"/>
      <c r="V81"/>
      <c r="W81"/>
      <c r="X81"/>
      <c r="Y81"/>
      <c r="Z81"/>
      <c r="AA81"/>
      <c r="AB81"/>
      <c r="AC81"/>
      <c r="AD81"/>
      <c r="AE81"/>
      <c r="AF81"/>
      <c r="AG81"/>
      <c r="AH81"/>
      <c r="AI81"/>
      <c r="AJ81"/>
      <c r="AK81"/>
      <c r="AL81"/>
      <c r="AM81"/>
      <c r="AN81"/>
      <c r="AO81"/>
      <c r="AP81"/>
      <c r="AQ81"/>
      <c r="AR81"/>
      <c r="AS81"/>
      <c r="AT81"/>
      <c r="AU81"/>
      <c r="AV81"/>
      <c r="AW81"/>
      <c r="AX81"/>
      <c r="AY81"/>
      <c r="AZ81"/>
      <c r="BA81"/>
      <c r="BB81"/>
      <c r="BC81"/>
      <c r="BD81"/>
      <c r="BE81"/>
      <c r="BF81"/>
      <c r="BG81"/>
      <c r="BH81"/>
      <c r="BI81"/>
      <c r="BJ81"/>
      <c r="BK81"/>
      <c r="BL81"/>
      <c r="BM81"/>
      <c r="BN81"/>
      <c r="BO81"/>
      <c r="BP81"/>
      <c r="BQ81"/>
      <c r="BR81"/>
      <c r="BS81"/>
      <c r="BT81"/>
      <c r="BU81"/>
      <c r="BV81"/>
      <c r="BW81"/>
      <c r="BX81"/>
      <c r="BY81"/>
      <c r="BZ81"/>
      <c r="CA81"/>
      <c r="CB81"/>
      <c r="CC81"/>
      <c r="CD81"/>
      <c r="CE81"/>
      <c r="CF81"/>
      <c r="CG81"/>
      <c r="CH81"/>
      <c r="CI81"/>
      <c r="CJ81"/>
      <c r="CK81"/>
      <c r="CL81"/>
      <c r="CM81"/>
      <c r="CN81"/>
      <c r="CO81"/>
      <c r="CP81"/>
      <c r="CQ81"/>
      <c r="CR81"/>
      <c r="CS81"/>
      <c r="CT81"/>
      <c r="CU81"/>
      <c r="CV81"/>
      <c r="CW81"/>
      <c r="CX81"/>
      <c r="CY81"/>
      <c r="CZ81"/>
      <c r="DA81"/>
      <c r="DB81"/>
      <c r="DC81"/>
      <c r="DD81"/>
      <c r="DE81"/>
      <c r="DF81"/>
      <c r="DG81"/>
      <c r="DH81"/>
      <c r="DI81"/>
      <c r="DJ81"/>
      <c r="DK81"/>
      <c r="DL81"/>
      <c r="DM81"/>
      <c r="DN81"/>
      <c r="DO81"/>
      <c r="DP81"/>
      <c r="DQ81"/>
      <c r="DR81"/>
      <c r="DS81"/>
      <c r="DT81"/>
      <c r="DU81"/>
      <c r="DV81"/>
      <c r="DW81"/>
    </row>
    <row r="82" spans="1:127" s="2" customFormat="1" x14ac:dyDescent="0.3">
      <c r="A82" s="5"/>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c r="AZ82"/>
      <c r="BA82"/>
      <c r="BB82"/>
      <c r="BC82"/>
      <c r="BD82"/>
      <c r="BE82"/>
      <c r="BF82"/>
      <c r="BG82"/>
      <c r="BH82"/>
      <c r="BI82"/>
      <c r="BJ82"/>
      <c r="BK82"/>
      <c r="BL82"/>
      <c r="BM82"/>
      <c r="BN82"/>
      <c r="BO82"/>
      <c r="BP82"/>
      <c r="BQ82"/>
      <c r="BR82"/>
      <c r="BS82"/>
      <c r="BT82"/>
      <c r="BU82"/>
      <c r="BV82"/>
      <c r="BW82"/>
      <c r="BX82"/>
      <c r="BY82"/>
      <c r="BZ82"/>
      <c r="CA82"/>
      <c r="CB82"/>
      <c r="CC82"/>
      <c r="CD82"/>
      <c r="CE82"/>
      <c r="CF82"/>
      <c r="CG82"/>
      <c r="CH82"/>
      <c r="CI82"/>
      <c r="CJ82"/>
      <c r="CK82"/>
      <c r="CL82"/>
      <c r="CM82"/>
      <c r="CN82"/>
      <c r="CO82"/>
      <c r="CP82"/>
      <c r="CQ82"/>
      <c r="CR82"/>
      <c r="CS82"/>
      <c r="CT82"/>
      <c r="CU82"/>
      <c r="CV82"/>
      <c r="CW82"/>
      <c r="CX82"/>
      <c r="CY82"/>
      <c r="CZ82"/>
      <c r="DA82"/>
      <c r="DB82"/>
      <c r="DC82"/>
      <c r="DD82"/>
      <c r="DE82"/>
      <c r="DF82"/>
      <c r="DG82"/>
      <c r="DH82"/>
      <c r="DI82"/>
      <c r="DJ82"/>
      <c r="DK82"/>
      <c r="DL82"/>
      <c r="DM82"/>
      <c r="DN82"/>
      <c r="DO82"/>
      <c r="DP82"/>
      <c r="DQ82"/>
      <c r="DR82"/>
      <c r="DS82"/>
      <c r="DT82"/>
      <c r="DU82"/>
      <c r="DV82"/>
      <c r="DW82"/>
    </row>
    <row r="83" spans="1:127" s="2" customFormat="1" x14ac:dyDescent="0.3">
      <c r="A83" s="5"/>
      <c r="C83"/>
      <c r="D83"/>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G83"/>
      <c r="BH83"/>
      <c r="BI83"/>
      <c r="BJ83"/>
      <c r="BK83"/>
      <c r="BL83"/>
      <c r="BM83"/>
      <c r="BN83"/>
      <c r="BO83"/>
      <c r="BP83"/>
      <c r="BQ83"/>
      <c r="BR83"/>
      <c r="BS83"/>
      <c r="BT83"/>
      <c r="BU83"/>
      <c r="BV83"/>
      <c r="BW83"/>
      <c r="BX83"/>
      <c r="BY83"/>
      <c r="BZ83"/>
      <c r="CA83"/>
      <c r="CB83"/>
      <c r="CC83"/>
      <c r="CD83"/>
      <c r="CE83"/>
      <c r="CF83"/>
      <c r="CG83"/>
      <c r="CH83"/>
      <c r="CI83"/>
      <c r="CJ83"/>
      <c r="CK83"/>
      <c r="CL83"/>
      <c r="CM83"/>
      <c r="CN83"/>
      <c r="CO83"/>
      <c r="CP83"/>
      <c r="CQ83"/>
      <c r="CR83"/>
      <c r="CS83"/>
      <c r="CT83"/>
      <c r="CU83"/>
      <c r="CV83"/>
      <c r="CW83"/>
      <c r="CX83"/>
      <c r="CY83"/>
      <c r="CZ83"/>
      <c r="DA83"/>
      <c r="DB83"/>
      <c r="DC83"/>
      <c r="DD83"/>
      <c r="DE83"/>
      <c r="DF83"/>
      <c r="DG83"/>
      <c r="DH83"/>
      <c r="DI83"/>
      <c r="DJ83"/>
      <c r="DK83"/>
      <c r="DL83"/>
      <c r="DM83"/>
      <c r="DN83"/>
      <c r="DO83"/>
      <c r="DP83"/>
      <c r="DQ83"/>
      <c r="DR83"/>
      <c r="DS83"/>
      <c r="DT83"/>
      <c r="DU83"/>
      <c r="DV83"/>
      <c r="DW83"/>
    </row>
    <row r="84" spans="1:127" s="2" customFormat="1" x14ac:dyDescent="0.3">
      <c r="A84" s="5"/>
      <c r="C84"/>
      <c r="D84"/>
      <c r="E84"/>
      <c r="F84"/>
      <c r="G84"/>
      <c r="H84"/>
      <c r="I84"/>
      <c r="J84"/>
      <c r="K84"/>
      <c r="L84"/>
      <c r="M84"/>
      <c r="N84"/>
      <c r="O84"/>
      <c r="P84"/>
      <c r="Q84"/>
      <c r="R84"/>
      <c r="S84"/>
      <c r="T84"/>
      <c r="U84"/>
      <c r="V84"/>
      <c r="W84"/>
      <c r="X84"/>
      <c r="Y84"/>
      <c r="Z84"/>
      <c r="AA84"/>
      <c r="AB84"/>
      <c r="AC84"/>
      <c r="AD84"/>
      <c r="AE84"/>
      <c r="AF84"/>
      <c r="AG84"/>
      <c r="AH84"/>
      <c r="AI84"/>
      <c r="AJ84"/>
      <c r="AK84"/>
      <c r="AL84"/>
      <c r="AM84"/>
      <c r="AN84"/>
      <c r="AO84"/>
      <c r="AP84"/>
      <c r="AQ84"/>
      <c r="AR84"/>
      <c r="AS84"/>
      <c r="AT84"/>
      <c r="AU84"/>
      <c r="AV84"/>
      <c r="AW84"/>
      <c r="AX84"/>
      <c r="AY84"/>
      <c r="AZ84"/>
      <c r="BA84"/>
      <c r="BB84"/>
      <c r="BC84"/>
      <c r="BD84"/>
      <c r="BE84"/>
      <c r="BF84"/>
      <c r="BG84"/>
      <c r="BH84"/>
      <c r="BI84"/>
      <c r="BJ84"/>
      <c r="BK84"/>
      <c r="BL84"/>
      <c r="BM84"/>
      <c r="BN84"/>
      <c r="BO84"/>
      <c r="BP84"/>
      <c r="BQ84"/>
      <c r="BR84"/>
      <c r="BS84"/>
      <c r="BT84"/>
      <c r="BU84"/>
      <c r="BV84"/>
      <c r="BW84"/>
      <c r="BX84"/>
      <c r="BY84"/>
      <c r="BZ84"/>
      <c r="CA84"/>
      <c r="CB84"/>
      <c r="CC84"/>
      <c r="CD84"/>
      <c r="CE84"/>
      <c r="CF84"/>
      <c r="CG84"/>
      <c r="CH84"/>
      <c r="CI84"/>
      <c r="CJ84"/>
      <c r="CK84"/>
      <c r="CL84"/>
      <c r="CM84"/>
      <c r="CN84"/>
      <c r="CO84"/>
      <c r="CP84"/>
      <c r="CQ84"/>
      <c r="CR84"/>
      <c r="CS84"/>
      <c r="CT84"/>
      <c r="CU84"/>
      <c r="CV84"/>
      <c r="CW84"/>
      <c r="CX84"/>
      <c r="CY84"/>
      <c r="CZ84"/>
      <c r="DA84"/>
      <c r="DB84"/>
      <c r="DC84"/>
      <c r="DD84"/>
      <c r="DE84"/>
      <c r="DF84"/>
      <c r="DG84"/>
      <c r="DH84"/>
      <c r="DI84"/>
      <c r="DJ84"/>
      <c r="DK84"/>
      <c r="DL84"/>
      <c r="DM84"/>
      <c r="DN84"/>
      <c r="DO84"/>
      <c r="DP84"/>
      <c r="DQ84"/>
      <c r="DR84"/>
      <c r="DS84"/>
      <c r="DT84"/>
      <c r="DU84"/>
      <c r="DV84"/>
      <c r="DW84"/>
    </row>
    <row r="85" spans="1:127" s="2" customFormat="1" x14ac:dyDescent="0.3">
      <c r="A85" s="5"/>
      <c r="C85"/>
      <c r="D85"/>
      <c r="E85"/>
      <c r="F85"/>
      <c r="G85"/>
      <c r="H85"/>
      <c r="I85"/>
      <c r="J85"/>
      <c r="K85"/>
      <c r="L85"/>
      <c r="M85"/>
      <c r="N85"/>
      <c r="O85"/>
      <c r="P85"/>
      <c r="Q85"/>
      <c r="R85"/>
      <c r="S85"/>
      <c r="T85"/>
      <c r="U85"/>
      <c r="V85"/>
      <c r="W85"/>
      <c r="X85"/>
      <c r="Y85"/>
      <c r="Z85"/>
      <c r="AA85"/>
      <c r="AB85"/>
      <c r="AC85"/>
      <c r="AD85"/>
      <c r="AE85"/>
      <c r="AF85"/>
      <c r="AG85"/>
      <c r="AH85"/>
      <c r="AI85"/>
      <c r="AJ85"/>
      <c r="AK85"/>
      <c r="AL85"/>
      <c r="AM85"/>
      <c r="AN85"/>
      <c r="AO85"/>
      <c r="AP85"/>
      <c r="AQ85"/>
      <c r="AR85"/>
      <c r="AS85"/>
      <c r="AT85"/>
      <c r="AU85"/>
      <c r="AV85"/>
      <c r="AW85"/>
      <c r="AX85"/>
      <c r="AY85"/>
      <c r="AZ85"/>
      <c r="BA85"/>
      <c r="BB85"/>
      <c r="BC85"/>
      <c r="BD85"/>
      <c r="BE85"/>
      <c r="BF85"/>
      <c r="BG85"/>
      <c r="BH85"/>
      <c r="BI85"/>
      <c r="BJ85"/>
      <c r="BK85"/>
      <c r="BL85"/>
      <c r="BM85"/>
      <c r="BN85"/>
      <c r="BO85"/>
      <c r="BP85"/>
      <c r="BQ85"/>
      <c r="BR85"/>
      <c r="BS85"/>
      <c r="BT85"/>
      <c r="BU85"/>
      <c r="BV85"/>
      <c r="BW85"/>
      <c r="BX85"/>
      <c r="BY85"/>
      <c r="BZ85"/>
      <c r="CA85"/>
      <c r="CB85"/>
      <c r="CC85"/>
      <c r="CD85"/>
      <c r="CE85"/>
      <c r="CF85"/>
      <c r="CG85"/>
      <c r="CH85"/>
      <c r="CI85"/>
      <c r="CJ85"/>
      <c r="CK85"/>
      <c r="CL85"/>
      <c r="CM85"/>
      <c r="CN85"/>
      <c r="CO85"/>
      <c r="CP85"/>
      <c r="CQ85"/>
      <c r="CR85"/>
      <c r="CS85"/>
      <c r="CT85"/>
      <c r="CU85"/>
      <c r="CV85"/>
      <c r="CW85"/>
      <c r="CX85"/>
      <c r="CY85"/>
      <c r="CZ85"/>
      <c r="DA85"/>
      <c r="DB85"/>
      <c r="DC85"/>
      <c r="DD85"/>
      <c r="DE85"/>
      <c r="DF85"/>
      <c r="DG85"/>
      <c r="DH85"/>
      <c r="DI85"/>
      <c r="DJ85"/>
      <c r="DK85"/>
      <c r="DL85"/>
      <c r="DM85"/>
      <c r="DN85"/>
      <c r="DO85"/>
      <c r="DP85"/>
      <c r="DQ85"/>
      <c r="DR85"/>
      <c r="DS85"/>
      <c r="DT85"/>
      <c r="DU85"/>
      <c r="DV85"/>
      <c r="DW85"/>
    </row>
    <row r="86" spans="1:127" s="2" customFormat="1" x14ac:dyDescent="0.3">
      <c r="A86" s="5"/>
      <c r="C86"/>
      <c r="D86"/>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c r="AY86"/>
      <c r="AZ86"/>
      <c r="BA86"/>
      <c r="BB86"/>
      <c r="BC86"/>
      <c r="BD86"/>
      <c r="BE86"/>
      <c r="BF86"/>
      <c r="BG86"/>
      <c r="BH86"/>
      <c r="BI86"/>
      <c r="BJ86"/>
      <c r="BK86"/>
      <c r="BL86"/>
      <c r="BM86"/>
      <c r="BN86"/>
      <c r="BO86"/>
      <c r="BP86"/>
      <c r="BQ86"/>
      <c r="BR86"/>
      <c r="BS86"/>
      <c r="BT86"/>
      <c r="BU86"/>
      <c r="BV86"/>
      <c r="BW86"/>
      <c r="BX86"/>
      <c r="BY86"/>
      <c r="BZ86"/>
      <c r="CA86"/>
      <c r="CB86"/>
      <c r="CC86"/>
      <c r="CD86"/>
      <c r="CE86"/>
      <c r="CF86"/>
      <c r="CG86"/>
      <c r="CH86"/>
      <c r="CI86"/>
      <c r="CJ86"/>
      <c r="CK86"/>
      <c r="CL86"/>
      <c r="CM86"/>
      <c r="CN86"/>
      <c r="CO86"/>
      <c r="CP86"/>
      <c r="CQ86"/>
      <c r="CR86"/>
      <c r="CS86"/>
      <c r="CT86"/>
      <c r="CU86"/>
      <c r="CV86"/>
      <c r="CW86"/>
      <c r="CX86"/>
      <c r="CY86"/>
      <c r="CZ86"/>
      <c r="DA86"/>
      <c r="DB86"/>
      <c r="DC86"/>
      <c r="DD86"/>
      <c r="DE86"/>
      <c r="DF86"/>
      <c r="DG86"/>
      <c r="DH86"/>
      <c r="DI86"/>
      <c r="DJ86"/>
      <c r="DK86"/>
      <c r="DL86"/>
      <c r="DM86"/>
      <c r="DN86"/>
      <c r="DO86"/>
      <c r="DP86"/>
      <c r="DQ86"/>
      <c r="DR86"/>
      <c r="DS86"/>
      <c r="DT86"/>
      <c r="DU86"/>
      <c r="DV86"/>
      <c r="DW86"/>
    </row>
    <row r="87" spans="1:127" s="2" customFormat="1" x14ac:dyDescent="0.3">
      <c r="A87" s="5"/>
      <c r="C87"/>
      <c r="D87"/>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c r="AW87"/>
      <c r="AX87"/>
      <c r="AY87"/>
      <c r="AZ87"/>
      <c r="BA87"/>
      <c r="BB87"/>
      <c r="BC87"/>
      <c r="BD87"/>
      <c r="BE87"/>
      <c r="BF87"/>
      <c r="BG87"/>
      <c r="BH87"/>
      <c r="BI87"/>
      <c r="BJ87"/>
      <c r="BK87"/>
      <c r="BL87"/>
      <c r="BM87"/>
      <c r="BN87"/>
      <c r="BO87"/>
      <c r="BP87"/>
      <c r="BQ87"/>
      <c r="BR87"/>
      <c r="BS87"/>
      <c r="BT87"/>
      <c r="BU87"/>
      <c r="BV87"/>
      <c r="BW87"/>
      <c r="BX87"/>
      <c r="BY87"/>
      <c r="BZ87"/>
      <c r="CA87"/>
      <c r="CB87"/>
      <c r="CC87"/>
      <c r="CD87"/>
      <c r="CE87"/>
      <c r="CF87"/>
      <c r="CG87"/>
      <c r="CH87"/>
      <c r="CI87"/>
      <c r="CJ87"/>
      <c r="CK87"/>
      <c r="CL87"/>
      <c r="CM87"/>
      <c r="CN87"/>
      <c r="CO87"/>
      <c r="CP87"/>
      <c r="CQ87"/>
      <c r="CR87"/>
      <c r="CS87"/>
      <c r="CT87"/>
      <c r="CU87"/>
      <c r="CV87"/>
      <c r="CW87"/>
      <c r="CX87"/>
      <c r="CY87"/>
      <c r="CZ87"/>
      <c r="DA87"/>
      <c r="DB87"/>
      <c r="DC87"/>
      <c r="DD87"/>
      <c r="DE87"/>
      <c r="DF87"/>
      <c r="DG87"/>
      <c r="DH87"/>
      <c r="DI87"/>
      <c r="DJ87"/>
      <c r="DK87"/>
      <c r="DL87"/>
      <c r="DM87"/>
      <c r="DN87"/>
      <c r="DO87"/>
      <c r="DP87"/>
      <c r="DQ87"/>
      <c r="DR87"/>
      <c r="DS87"/>
      <c r="DT87"/>
      <c r="DU87"/>
      <c r="DV87"/>
      <c r="DW87"/>
    </row>
    <row r="88" spans="1:127" s="2" customFormat="1" x14ac:dyDescent="0.3">
      <c r="A88" s="5"/>
      <c r="C88"/>
      <c r="D88"/>
      <c r="E88"/>
      <c r="F88"/>
      <c r="G88"/>
      <c r="H88"/>
      <c r="I88"/>
      <c r="J88"/>
      <c r="K88"/>
      <c r="L88"/>
      <c r="M88"/>
      <c r="N88"/>
      <c r="O88"/>
      <c r="P88"/>
      <c r="Q88"/>
      <c r="R88"/>
      <c r="S88"/>
      <c r="T88"/>
      <c r="U88"/>
      <c r="V88"/>
      <c r="W88"/>
      <c r="X88"/>
      <c r="Y88"/>
      <c r="Z88"/>
      <c r="AA88"/>
      <c r="AB88"/>
      <c r="AC88"/>
      <c r="AD88"/>
      <c r="AE88"/>
      <c r="AF88"/>
      <c r="AG88"/>
      <c r="AH88"/>
      <c r="AI88"/>
      <c r="AJ88"/>
      <c r="AK88"/>
      <c r="AL88"/>
      <c r="AM88"/>
      <c r="AN88"/>
      <c r="AO88"/>
      <c r="AP88"/>
      <c r="AQ88"/>
      <c r="AR88"/>
      <c r="AS88"/>
      <c r="AT88"/>
      <c r="AU88"/>
      <c r="AV88"/>
      <c r="AW88"/>
      <c r="AX88"/>
      <c r="AY88"/>
      <c r="AZ88"/>
      <c r="BA88"/>
      <c r="BB88"/>
      <c r="BC88"/>
      <c r="BD88"/>
      <c r="BE88"/>
      <c r="BF88"/>
      <c r="BG88"/>
      <c r="BH88"/>
      <c r="BI88"/>
      <c r="BJ88"/>
      <c r="BK88"/>
      <c r="BL88"/>
      <c r="BM88"/>
      <c r="BN88"/>
      <c r="BO88"/>
      <c r="BP88"/>
      <c r="BQ88"/>
      <c r="BR88"/>
      <c r="BS88"/>
      <c r="BT88"/>
      <c r="BU88"/>
      <c r="BV88"/>
      <c r="BW88"/>
      <c r="BX88"/>
      <c r="BY88"/>
      <c r="BZ88"/>
      <c r="CA88"/>
      <c r="CB88"/>
      <c r="CC88"/>
      <c r="CD88"/>
      <c r="CE88"/>
      <c r="CF88"/>
      <c r="CG88"/>
      <c r="CH88"/>
      <c r="CI88"/>
      <c r="CJ88"/>
      <c r="CK88"/>
      <c r="CL88"/>
      <c r="CM88"/>
      <c r="CN88"/>
      <c r="CO88"/>
      <c r="CP88"/>
      <c r="CQ88"/>
      <c r="CR88"/>
      <c r="CS88"/>
      <c r="CT88"/>
      <c r="CU88"/>
      <c r="CV88"/>
      <c r="CW88"/>
      <c r="CX88"/>
      <c r="CY88"/>
      <c r="CZ88"/>
      <c r="DA88"/>
      <c r="DB88"/>
      <c r="DC88"/>
      <c r="DD88"/>
      <c r="DE88"/>
      <c r="DF88"/>
      <c r="DG88"/>
      <c r="DH88"/>
      <c r="DI88"/>
      <c r="DJ88"/>
      <c r="DK88"/>
      <c r="DL88"/>
      <c r="DM88"/>
      <c r="DN88"/>
      <c r="DO88"/>
      <c r="DP88"/>
      <c r="DQ88"/>
      <c r="DR88"/>
      <c r="DS88"/>
      <c r="DT88"/>
      <c r="DU88"/>
      <c r="DV88"/>
      <c r="DW88"/>
    </row>
    <row r="89" spans="1:127" s="2" customFormat="1" x14ac:dyDescent="0.3">
      <c r="A89" s="5"/>
      <c r="C89"/>
      <c r="D89"/>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c r="AZ89"/>
      <c r="BA89"/>
      <c r="BB89"/>
      <c r="BC89"/>
      <c r="BD89"/>
      <c r="BE89"/>
      <c r="BF89"/>
      <c r="BG89"/>
      <c r="BH89"/>
      <c r="BI89"/>
      <c r="BJ89"/>
      <c r="BK89"/>
      <c r="BL89"/>
      <c r="BM89"/>
      <c r="BN89"/>
      <c r="BO89"/>
      <c r="BP89"/>
      <c r="BQ89"/>
      <c r="BR89"/>
      <c r="BS89"/>
      <c r="BT89"/>
      <c r="BU89"/>
      <c r="BV89"/>
      <c r="BW89"/>
      <c r="BX89"/>
      <c r="BY89"/>
      <c r="BZ89"/>
      <c r="CA89"/>
      <c r="CB89"/>
      <c r="CC89"/>
      <c r="CD89"/>
      <c r="CE89"/>
      <c r="CF89"/>
      <c r="CG89"/>
      <c r="CH89"/>
      <c r="CI89"/>
      <c r="CJ89"/>
      <c r="CK89"/>
      <c r="CL89"/>
      <c r="CM89"/>
      <c r="CN89"/>
      <c r="CO89"/>
      <c r="CP89"/>
      <c r="CQ89"/>
      <c r="CR89"/>
      <c r="CS89"/>
      <c r="CT89"/>
      <c r="CU89"/>
      <c r="CV89"/>
      <c r="CW89"/>
      <c r="CX89"/>
      <c r="CY89"/>
      <c r="CZ89"/>
      <c r="DA89"/>
      <c r="DB89"/>
      <c r="DC89"/>
      <c r="DD89"/>
      <c r="DE89"/>
      <c r="DF89"/>
      <c r="DG89"/>
      <c r="DH89"/>
      <c r="DI89"/>
      <c r="DJ89"/>
      <c r="DK89"/>
      <c r="DL89"/>
      <c r="DM89"/>
      <c r="DN89"/>
      <c r="DO89"/>
      <c r="DP89"/>
      <c r="DQ89"/>
      <c r="DR89"/>
      <c r="DS89"/>
      <c r="DT89"/>
      <c r="DU89"/>
      <c r="DV89"/>
      <c r="DW89"/>
    </row>
    <row r="90" spans="1:127" s="2" customFormat="1" x14ac:dyDescent="0.3">
      <c r="A90" s="5"/>
      <c r="C90"/>
      <c r="D90"/>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c r="BH90"/>
      <c r="BI90"/>
      <c r="BJ90"/>
      <c r="BK90"/>
      <c r="BL90"/>
      <c r="BM90"/>
      <c r="BN90"/>
      <c r="BO90"/>
      <c r="BP90"/>
      <c r="BQ90"/>
      <c r="BR90"/>
      <c r="BS90"/>
      <c r="BT90"/>
      <c r="BU90"/>
      <c r="BV90"/>
      <c r="BW90"/>
      <c r="BX90"/>
      <c r="BY90"/>
      <c r="BZ90"/>
      <c r="CA90"/>
      <c r="CB90"/>
      <c r="CC90"/>
      <c r="CD90"/>
      <c r="CE90"/>
      <c r="CF90"/>
      <c r="CG90"/>
      <c r="CH90"/>
      <c r="CI90"/>
      <c r="CJ90"/>
      <c r="CK90"/>
      <c r="CL90"/>
      <c r="CM90"/>
      <c r="CN90"/>
      <c r="CO90"/>
      <c r="CP90"/>
      <c r="CQ90"/>
      <c r="CR90"/>
      <c r="CS90"/>
      <c r="CT90"/>
      <c r="CU90"/>
      <c r="CV90"/>
      <c r="CW90"/>
      <c r="CX90"/>
      <c r="CY90"/>
      <c r="CZ90"/>
      <c r="DA90"/>
      <c r="DB90"/>
      <c r="DC90"/>
      <c r="DD90"/>
      <c r="DE90"/>
      <c r="DF90"/>
      <c r="DG90"/>
      <c r="DH90"/>
      <c r="DI90"/>
      <c r="DJ90"/>
      <c r="DK90"/>
      <c r="DL90"/>
      <c r="DM90"/>
      <c r="DN90"/>
      <c r="DO90"/>
      <c r="DP90"/>
      <c r="DQ90"/>
      <c r="DR90"/>
      <c r="DS90"/>
      <c r="DT90"/>
      <c r="DU90"/>
      <c r="DV90"/>
      <c r="DW90"/>
    </row>
    <row r="91" spans="1:127" s="2" customFormat="1" x14ac:dyDescent="0.3">
      <c r="A91" s="5"/>
      <c r="C91"/>
      <c r="D91"/>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c r="AY91"/>
      <c r="AZ91"/>
      <c r="BA91"/>
      <c r="BB91"/>
      <c r="BC91"/>
      <c r="BD91"/>
      <c r="BE91"/>
      <c r="BF91"/>
      <c r="BG91"/>
      <c r="BH91"/>
      <c r="BI91"/>
      <c r="BJ91"/>
      <c r="BK91"/>
      <c r="BL91"/>
      <c r="BM91"/>
      <c r="BN91"/>
      <c r="BO91"/>
      <c r="BP91"/>
      <c r="BQ91"/>
      <c r="BR91"/>
      <c r="BS91"/>
      <c r="BT91"/>
      <c r="BU91"/>
      <c r="BV91"/>
      <c r="BW91"/>
      <c r="BX91"/>
      <c r="BY91"/>
      <c r="BZ91"/>
      <c r="CA91"/>
      <c r="CB91"/>
      <c r="CC91"/>
      <c r="CD91"/>
      <c r="CE91"/>
      <c r="CF91"/>
      <c r="CG91"/>
      <c r="CH91"/>
      <c r="CI91"/>
      <c r="CJ91"/>
      <c r="CK91"/>
      <c r="CL91"/>
      <c r="CM91"/>
      <c r="CN91"/>
      <c r="CO91"/>
      <c r="CP91"/>
      <c r="CQ91"/>
      <c r="CR91"/>
      <c r="CS91"/>
      <c r="CT91"/>
      <c r="CU91"/>
      <c r="CV91"/>
      <c r="CW91"/>
      <c r="CX91"/>
      <c r="CY91"/>
      <c r="CZ91"/>
      <c r="DA91"/>
      <c r="DB91"/>
      <c r="DC91"/>
      <c r="DD91"/>
      <c r="DE91"/>
      <c r="DF91"/>
      <c r="DG91"/>
      <c r="DH91"/>
      <c r="DI91"/>
      <c r="DJ91"/>
      <c r="DK91"/>
      <c r="DL91"/>
      <c r="DM91"/>
      <c r="DN91"/>
      <c r="DO91"/>
      <c r="DP91"/>
      <c r="DQ91"/>
      <c r="DR91"/>
      <c r="DS91"/>
      <c r="DT91"/>
      <c r="DU91"/>
      <c r="DV91"/>
      <c r="DW91"/>
    </row>
    <row r="92" spans="1:127" s="2" customFormat="1" x14ac:dyDescent="0.3">
      <c r="A92" s="5"/>
      <c r="C92"/>
      <c r="D92"/>
      <c r="E92"/>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c r="AR92"/>
      <c r="AS92"/>
      <c r="AT92"/>
      <c r="AU92"/>
      <c r="AV92"/>
      <c r="AW92"/>
      <c r="AX92"/>
      <c r="AY92"/>
      <c r="AZ92"/>
      <c r="BA92"/>
      <c r="BB92"/>
      <c r="BC92"/>
      <c r="BD92"/>
      <c r="BE92"/>
      <c r="BF92"/>
      <c r="BG92"/>
      <c r="BH92"/>
      <c r="BI92"/>
      <c r="BJ92"/>
      <c r="BK92"/>
      <c r="BL92"/>
      <c r="BM92"/>
      <c r="BN92"/>
      <c r="BO92"/>
      <c r="BP92"/>
      <c r="BQ92"/>
      <c r="BR92"/>
      <c r="BS92"/>
      <c r="BT92"/>
      <c r="BU92"/>
      <c r="BV92"/>
      <c r="BW92"/>
      <c r="BX92"/>
      <c r="BY92"/>
      <c r="BZ92"/>
      <c r="CA92"/>
      <c r="CB92"/>
      <c r="CC92"/>
      <c r="CD92"/>
      <c r="CE92"/>
      <c r="CF92"/>
      <c r="CG92"/>
      <c r="CH92"/>
      <c r="CI92"/>
      <c r="CJ92"/>
      <c r="CK92"/>
      <c r="CL92"/>
      <c r="CM92"/>
      <c r="CN92"/>
      <c r="CO92"/>
      <c r="CP92"/>
      <c r="CQ92"/>
      <c r="CR92"/>
      <c r="CS92"/>
      <c r="CT92"/>
      <c r="CU92"/>
      <c r="CV92"/>
      <c r="CW92"/>
      <c r="CX92"/>
      <c r="CY92"/>
      <c r="CZ92"/>
      <c r="DA92"/>
      <c r="DB92"/>
      <c r="DC92"/>
      <c r="DD92"/>
      <c r="DE92"/>
      <c r="DF92"/>
      <c r="DG92"/>
      <c r="DH92"/>
      <c r="DI92"/>
      <c r="DJ92"/>
      <c r="DK92"/>
      <c r="DL92"/>
      <c r="DM92"/>
      <c r="DN92"/>
      <c r="DO92"/>
      <c r="DP92"/>
      <c r="DQ92"/>
      <c r="DR92"/>
      <c r="DS92"/>
      <c r="DT92"/>
      <c r="DU92"/>
      <c r="DV92"/>
      <c r="DW92"/>
    </row>
    <row r="93" spans="1:127" s="2" customFormat="1" x14ac:dyDescent="0.3">
      <c r="A93" s="5"/>
      <c r="C93"/>
      <c r="D93"/>
      <c r="E93"/>
      <c r="F93"/>
      <c r="G93"/>
      <c r="H93"/>
      <c r="I93"/>
      <c r="J93"/>
      <c r="K93"/>
      <c r="L93"/>
      <c r="M93"/>
      <c r="N93"/>
      <c r="O93"/>
      <c r="P93"/>
      <c r="Q93"/>
      <c r="R93"/>
      <c r="S93"/>
      <c r="T93"/>
      <c r="U93"/>
      <c r="V93"/>
      <c r="W93"/>
      <c r="X93"/>
      <c r="Y93"/>
      <c r="Z93"/>
      <c r="AA93"/>
      <c r="AB93"/>
      <c r="AC93"/>
      <c r="AD93"/>
      <c r="AE93"/>
      <c r="AF93"/>
      <c r="AG93"/>
      <c r="AH93"/>
      <c r="AI93"/>
      <c r="AJ93"/>
      <c r="AK93"/>
      <c r="AL93"/>
      <c r="AM93"/>
      <c r="AN93"/>
      <c r="AO93"/>
      <c r="AP93"/>
      <c r="AQ93"/>
      <c r="AR93"/>
      <c r="AS93"/>
      <c r="AT93"/>
      <c r="AU93"/>
      <c r="AV93"/>
      <c r="AW93"/>
      <c r="AX93"/>
      <c r="AY93"/>
      <c r="AZ93"/>
      <c r="BA93"/>
      <c r="BB93"/>
      <c r="BC93"/>
      <c r="BD93"/>
      <c r="BE93"/>
      <c r="BF93"/>
      <c r="BG93"/>
      <c r="BH93"/>
      <c r="BI93"/>
      <c r="BJ93"/>
      <c r="BK93"/>
      <c r="BL93"/>
      <c r="BM93"/>
      <c r="BN93"/>
      <c r="BO93"/>
      <c r="BP93"/>
      <c r="BQ93"/>
      <c r="BR93"/>
      <c r="BS93"/>
      <c r="BT93"/>
      <c r="BU93"/>
      <c r="BV93"/>
      <c r="BW93"/>
      <c r="BX93"/>
      <c r="BY93"/>
      <c r="BZ93"/>
      <c r="CA93"/>
      <c r="CB93"/>
      <c r="CC93"/>
      <c r="CD93"/>
      <c r="CE93"/>
      <c r="CF93"/>
      <c r="CG93"/>
      <c r="CH93"/>
      <c r="CI93"/>
      <c r="CJ93"/>
      <c r="CK93"/>
      <c r="CL93"/>
      <c r="CM93"/>
      <c r="CN93"/>
      <c r="CO93"/>
      <c r="CP93"/>
      <c r="CQ93"/>
      <c r="CR93"/>
      <c r="CS93"/>
      <c r="CT93"/>
      <c r="CU93"/>
      <c r="CV93"/>
      <c r="CW93"/>
      <c r="CX93"/>
      <c r="CY93"/>
      <c r="CZ93"/>
      <c r="DA93"/>
      <c r="DB93"/>
      <c r="DC93"/>
      <c r="DD93"/>
      <c r="DE93"/>
      <c r="DF93"/>
      <c r="DG93"/>
      <c r="DH93"/>
      <c r="DI93"/>
      <c r="DJ93"/>
      <c r="DK93"/>
      <c r="DL93"/>
      <c r="DM93"/>
      <c r="DN93"/>
      <c r="DO93"/>
      <c r="DP93"/>
      <c r="DQ93"/>
      <c r="DR93"/>
      <c r="DS93"/>
      <c r="DT93"/>
      <c r="DU93"/>
      <c r="DV93"/>
      <c r="DW93"/>
    </row>
    <row r="94" spans="1:127" s="2" customFormat="1" x14ac:dyDescent="0.3">
      <c r="A94" s="5"/>
      <c r="C94"/>
      <c r="D94"/>
      <c r="E94"/>
      <c r="F94"/>
      <c r="G94"/>
      <c r="H94"/>
      <c r="I94"/>
      <c r="J94"/>
      <c r="K94"/>
      <c r="L94"/>
      <c r="M94"/>
      <c r="N94"/>
      <c r="O94"/>
      <c r="P94"/>
      <c r="Q94"/>
      <c r="R94"/>
      <c r="S94"/>
      <c r="T94"/>
      <c r="U94"/>
      <c r="V94"/>
      <c r="W94"/>
      <c r="X94"/>
      <c r="Y94"/>
      <c r="Z94"/>
      <c r="AA94"/>
      <c r="AB94"/>
      <c r="AC94"/>
      <c r="AD94"/>
      <c r="AE94"/>
      <c r="AF94"/>
      <c r="AG94"/>
      <c r="AH94"/>
      <c r="AI94"/>
      <c r="AJ94"/>
      <c r="AK94"/>
      <c r="AL94"/>
      <c r="AM94"/>
      <c r="AN94"/>
      <c r="AO94"/>
      <c r="AP94"/>
      <c r="AQ94"/>
      <c r="AR94"/>
      <c r="AS94"/>
      <c r="AT94"/>
      <c r="AU94"/>
      <c r="AV94"/>
      <c r="AW94"/>
      <c r="AX94"/>
      <c r="AY94"/>
      <c r="AZ94"/>
      <c r="BA94"/>
      <c r="BB94"/>
      <c r="BC94"/>
      <c r="BD94"/>
      <c r="BE94"/>
      <c r="BF94"/>
      <c r="BG94"/>
      <c r="BH94"/>
      <c r="BI94"/>
      <c r="BJ94"/>
      <c r="BK94"/>
      <c r="BL94"/>
      <c r="BM94"/>
      <c r="BN94"/>
      <c r="BO94"/>
      <c r="BP94"/>
      <c r="BQ94"/>
      <c r="BR94"/>
      <c r="BS94"/>
      <c r="BT94"/>
      <c r="BU94"/>
      <c r="BV94"/>
      <c r="BW94"/>
      <c r="BX94"/>
      <c r="BY94"/>
      <c r="BZ94"/>
      <c r="CA94"/>
      <c r="CB94"/>
      <c r="CC94"/>
      <c r="CD94"/>
      <c r="CE94"/>
      <c r="CF94"/>
      <c r="CG94"/>
      <c r="CH94"/>
      <c r="CI94"/>
      <c r="CJ94"/>
      <c r="CK94"/>
      <c r="CL94"/>
      <c r="CM94"/>
      <c r="CN94"/>
      <c r="CO94"/>
      <c r="CP94"/>
      <c r="CQ94"/>
      <c r="CR94"/>
      <c r="CS94"/>
      <c r="CT94"/>
      <c r="CU94"/>
      <c r="CV94"/>
      <c r="CW94"/>
      <c r="CX94"/>
      <c r="CY94"/>
      <c r="CZ94"/>
      <c r="DA94"/>
      <c r="DB94"/>
      <c r="DC94"/>
      <c r="DD94"/>
      <c r="DE94"/>
      <c r="DF94"/>
      <c r="DG94"/>
      <c r="DH94"/>
      <c r="DI94"/>
      <c r="DJ94"/>
      <c r="DK94"/>
      <c r="DL94"/>
      <c r="DM94"/>
      <c r="DN94"/>
      <c r="DO94"/>
      <c r="DP94"/>
      <c r="DQ94"/>
      <c r="DR94"/>
      <c r="DS94"/>
      <c r="DT94"/>
      <c r="DU94"/>
      <c r="DV94"/>
      <c r="DW94"/>
    </row>
    <row r="95" spans="1:127" s="2" customFormat="1" x14ac:dyDescent="0.3">
      <c r="A95" s="5"/>
      <c r="C95"/>
      <c r="D95"/>
      <c r="E95"/>
      <c r="F95"/>
      <c r="G95"/>
      <c r="H95"/>
      <c r="I95"/>
      <c r="J95"/>
      <c r="K95"/>
      <c r="L95"/>
      <c r="M95"/>
      <c r="N95"/>
      <c r="O95"/>
      <c r="P95"/>
      <c r="Q95"/>
      <c r="R95"/>
      <c r="S95"/>
      <c r="T95"/>
      <c r="U95"/>
      <c r="V95"/>
      <c r="W95"/>
      <c r="X95"/>
      <c r="Y95"/>
      <c r="Z95"/>
      <c r="AA95"/>
      <c r="AB95"/>
      <c r="AC95"/>
      <c r="AD95"/>
      <c r="AE95"/>
      <c r="AF95"/>
      <c r="AG95"/>
      <c r="AH95"/>
      <c r="AI95"/>
      <c r="AJ95"/>
      <c r="AK95"/>
      <c r="AL95"/>
      <c r="AM95"/>
      <c r="AN95"/>
      <c r="AO95"/>
      <c r="AP95"/>
      <c r="AQ95"/>
      <c r="AR95"/>
      <c r="AS95"/>
      <c r="AT95"/>
      <c r="AU95"/>
      <c r="AV95"/>
      <c r="AW95"/>
      <c r="AX95"/>
      <c r="AY95"/>
      <c r="AZ95"/>
      <c r="BA95"/>
      <c r="BB95"/>
      <c r="BC95"/>
      <c r="BD95"/>
      <c r="BE95"/>
      <c r="BF95"/>
      <c r="BG95"/>
      <c r="BH95"/>
      <c r="BI95"/>
      <c r="BJ95"/>
      <c r="BK95"/>
      <c r="BL95"/>
      <c r="BM95"/>
      <c r="BN95"/>
      <c r="BO95"/>
      <c r="BP95"/>
      <c r="BQ95"/>
      <c r="BR95"/>
      <c r="BS95"/>
      <c r="BT95"/>
      <c r="BU95"/>
      <c r="BV95"/>
      <c r="BW95"/>
      <c r="BX95"/>
      <c r="BY95"/>
      <c r="BZ95"/>
      <c r="CA95"/>
      <c r="CB95"/>
      <c r="CC95"/>
      <c r="CD95"/>
      <c r="CE95"/>
      <c r="CF95"/>
      <c r="CG95"/>
      <c r="CH95"/>
      <c r="CI95"/>
      <c r="CJ95"/>
      <c r="CK95"/>
      <c r="CL95"/>
      <c r="CM95"/>
      <c r="CN95"/>
      <c r="CO95"/>
      <c r="CP95"/>
      <c r="CQ95"/>
      <c r="CR95"/>
      <c r="CS95"/>
      <c r="CT95"/>
      <c r="CU95"/>
      <c r="CV95"/>
      <c r="CW95"/>
      <c r="CX95"/>
      <c r="CY95"/>
      <c r="CZ95"/>
      <c r="DA95"/>
      <c r="DB95"/>
      <c r="DC95"/>
      <c r="DD95"/>
      <c r="DE95"/>
      <c r="DF95"/>
      <c r="DG95"/>
      <c r="DH95"/>
      <c r="DI95"/>
      <c r="DJ95"/>
      <c r="DK95"/>
      <c r="DL95"/>
      <c r="DM95"/>
      <c r="DN95"/>
      <c r="DO95"/>
      <c r="DP95"/>
      <c r="DQ95"/>
      <c r="DR95"/>
      <c r="DS95"/>
      <c r="DT95"/>
      <c r="DU95"/>
      <c r="DV95"/>
      <c r="DW95"/>
    </row>
    <row r="96" spans="1:127" s="2" customFormat="1" x14ac:dyDescent="0.3">
      <c r="A96" s="5"/>
      <c r="C96"/>
      <c r="D96"/>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G96"/>
      <c r="BH96"/>
      <c r="BI96"/>
      <c r="BJ96"/>
      <c r="BK96"/>
      <c r="BL96"/>
      <c r="BM96"/>
      <c r="BN96"/>
      <c r="BO96"/>
      <c r="BP96"/>
      <c r="BQ96"/>
      <c r="BR96"/>
      <c r="BS96"/>
      <c r="BT96"/>
      <c r="BU96"/>
      <c r="BV96"/>
      <c r="BW96"/>
      <c r="BX96"/>
      <c r="BY96"/>
      <c r="BZ96"/>
      <c r="CA96"/>
      <c r="CB96"/>
      <c r="CC96"/>
      <c r="CD96"/>
      <c r="CE96"/>
      <c r="CF96"/>
      <c r="CG96"/>
      <c r="CH96"/>
      <c r="CI96"/>
      <c r="CJ96"/>
      <c r="CK96"/>
      <c r="CL96"/>
      <c r="CM96"/>
      <c r="CN96"/>
      <c r="CO96"/>
      <c r="CP96"/>
      <c r="CQ96"/>
      <c r="CR96"/>
      <c r="CS96"/>
      <c r="CT96"/>
      <c r="CU96"/>
      <c r="CV96"/>
      <c r="CW96"/>
      <c r="CX96"/>
      <c r="CY96"/>
      <c r="CZ96"/>
      <c r="DA96"/>
      <c r="DB96"/>
      <c r="DC96"/>
      <c r="DD96"/>
      <c r="DE96"/>
      <c r="DF96"/>
      <c r="DG96"/>
      <c r="DH96"/>
      <c r="DI96"/>
      <c r="DJ96"/>
      <c r="DK96"/>
      <c r="DL96"/>
      <c r="DM96"/>
      <c r="DN96"/>
      <c r="DO96"/>
      <c r="DP96"/>
      <c r="DQ96"/>
      <c r="DR96"/>
      <c r="DS96"/>
      <c r="DT96"/>
      <c r="DU96"/>
      <c r="DV96"/>
      <c r="DW96"/>
    </row>
    <row r="97" spans="1:127" s="2" customFormat="1" x14ac:dyDescent="0.3">
      <c r="A97" s="5"/>
      <c r="C97"/>
      <c r="D97"/>
      <c r="E97"/>
      <c r="F97"/>
      <c r="G97"/>
      <c r="H97"/>
      <c r="I97"/>
      <c r="J97"/>
      <c r="K97"/>
      <c r="L97"/>
      <c r="M97"/>
      <c r="N97"/>
      <c r="O97"/>
      <c r="P97"/>
      <c r="Q97"/>
      <c r="R97"/>
      <c r="S97"/>
      <c r="T97"/>
      <c r="U97"/>
      <c r="V97"/>
      <c r="W97"/>
      <c r="X97"/>
      <c r="Y97"/>
      <c r="Z97"/>
      <c r="AA97"/>
      <c r="AB97"/>
      <c r="AC97"/>
      <c r="AD97"/>
      <c r="AE97"/>
      <c r="AF97"/>
      <c r="AG97"/>
      <c r="AH97"/>
      <c r="AI97"/>
      <c r="AJ97"/>
      <c r="AK97"/>
      <c r="AL97"/>
      <c r="AM97"/>
      <c r="AN97"/>
      <c r="AO97"/>
      <c r="AP97"/>
      <c r="AQ97"/>
      <c r="AR97"/>
      <c r="AS97"/>
      <c r="AT97"/>
      <c r="AU97"/>
      <c r="AV97"/>
      <c r="AW97"/>
      <c r="AX97"/>
      <c r="AY97"/>
      <c r="AZ97"/>
      <c r="BA97"/>
      <c r="BB97"/>
      <c r="BC97"/>
      <c r="BD97"/>
      <c r="BE97"/>
      <c r="BF97"/>
      <c r="BG97"/>
      <c r="BH97"/>
      <c r="BI97"/>
      <c r="BJ97"/>
      <c r="BK97"/>
      <c r="BL97"/>
      <c r="BM97"/>
      <c r="BN97"/>
      <c r="BO97"/>
      <c r="BP97"/>
      <c r="BQ97"/>
      <c r="BR97"/>
      <c r="BS97"/>
      <c r="BT97"/>
      <c r="BU97"/>
      <c r="BV97"/>
      <c r="BW97"/>
      <c r="BX97"/>
      <c r="BY97"/>
      <c r="BZ97"/>
      <c r="CA97"/>
      <c r="CB97"/>
      <c r="CC97"/>
      <c r="CD97"/>
      <c r="CE97"/>
      <c r="CF97"/>
      <c r="CG97"/>
      <c r="CH97"/>
      <c r="CI97"/>
      <c r="CJ97"/>
      <c r="CK97"/>
      <c r="CL97"/>
      <c r="CM97"/>
      <c r="CN97"/>
      <c r="CO97"/>
      <c r="CP97"/>
      <c r="CQ97"/>
      <c r="CR97"/>
      <c r="CS97"/>
      <c r="CT97"/>
      <c r="CU97"/>
      <c r="CV97"/>
      <c r="CW97"/>
      <c r="CX97"/>
      <c r="CY97"/>
      <c r="CZ97"/>
      <c r="DA97"/>
      <c r="DB97"/>
      <c r="DC97"/>
      <c r="DD97"/>
      <c r="DE97"/>
      <c r="DF97"/>
      <c r="DG97"/>
      <c r="DH97"/>
      <c r="DI97"/>
      <c r="DJ97"/>
      <c r="DK97"/>
      <c r="DL97"/>
      <c r="DM97"/>
      <c r="DN97"/>
      <c r="DO97"/>
      <c r="DP97"/>
      <c r="DQ97"/>
      <c r="DR97"/>
      <c r="DS97"/>
      <c r="DT97"/>
      <c r="DU97"/>
      <c r="DV97"/>
      <c r="DW97"/>
    </row>
    <row r="98" spans="1:127" s="2" customFormat="1" x14ac:dyDescent="0.3">
      <c r="A98" s="5"/>
      <c r="C98"/>
      <c r="D98"/>
      <c r="E98"/>
      <c r="F98"/>
      <c r="G98"/>
      <c r="H98"/>
      <c r="I98"/>
      <c r="J98"/>
      <c r="K98"/>
      <c r="L98"/>
      <c r="M98"/>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c r="AY98"/>
      <c r="AZ98"/>
      <c r="BA98"/>
      <c r="BB98"/>
      <c r="BC98"/>
      <c r="BD98"/>
      <c r="BE98"/>
      <c r="BF98"/>
      <c r="BG98"/>
      <c r="BH98"/>
      <c r="BI98"/>
      <c r="BJ98"/>
      <c r="BK98"/>
      <c r="BL98"/>
      <c r="BM98"/>
      <c r="BN98"/>
      <c r="BO98"/>
      <c r="BP98"/>
      <c r="BQ98"/>
      <c r="BR98"/>
      <c r="BS98"/>
      <c r="BT98"/>
      <c r="BU98"/>
      <c r="BV98"/>
      <c r="BW98"/>
      <c r="BX98"/>
      <c r="BY98"/>
      <c r="BZ98"/>
      <c r="CA98"/>
      <c r="CB98"/>
      <c r="CC98"/>
      <c r="CD98"/>
      <c r="CE98"/>
      <c r="CF98"/>
      <c r="CG98"/>
      <c r="CH98"/>
      <c r="CI98"/>
      <c r="CJ98"/>
      <c r="CK98"/>
      <c r="CL98"/>
      <c r="CM98"/>
      <c r="CN98"/>
      <c r="CO98"/>
      <c r="CP98"/>
      <c r="CQ98"/>
      <c r="CR98"/>
      <c r="CS98"/>
      <c r="CT98"/>
      <c r="CU98"/>
      <c r="CV98"/>
      <c r="CW98"/>
      <c r="CX98"/>
      <c r="CY98"/>
      <c r="CZ98"/>
      <c r="DA98"/>
      <c r="DB98"/>
      <c r="DC98"/>
      <c r="DD98"/>
      <c r="DE98"/>
      <c r="DF98"/>
      <c r="DG98"/>
      <c r="DH98"/>
      <c r="DI98"/>
      <c r="DJ98"/>
      <c r="DK98"/>
      <c r="DL98"/>
      <c r="DM98"/>
      <c r="DN98"/>
      <c r="DO98"/>
      <c r="DP98"/>
      <c r="DQ98"/>
      <c r="DR98"/>
      <c r="DS98"/>
      <c r="DT98"/>
      <c r="DU98"/>
      <c r="DV98"/>
      <c r="DW98"/>
    </row>
    <row r="99" spans="1:127" s="2" customFormat="1" x14ac:dyDescent="0.3">
      <c r="A99" s="5"/>
      <c r="C99"/>
      <c r="D99"/>
      <c r="E99"/>
      <c r="F99"/>
      <c r="G99"/>
      <c r="H99"/>
      <c r="I99"/>
      <c r="J99"/>
      <c r="K99"/>
      <c r="L99"/>
      <c r="M99"/>
      <c r="N99"/>
      <c r="O99"/>
      <c r="P99"/>
      <c r="Q99"/>
      <c r="R99"/>
      <c r="S99"/>
      <c r="T99"/>
      <c r="U99"/>
      <c r="V99"/>
      <c r="W99"/>
      <c r="X99"/>
      <c r="Y99"/>
      <c r="Z99"/>
      <c r="AA99"/>
      <c r="AB99"/>
      <c r="AC99"/>
      <c r="AD99"/>
      <c r="AE99"/>
      <c r="AF99"/>
      <c r="AG99"/>
      <c r="AH99"/>
      <c r="AI99"/>
      <c r="AJ99"/>
      <c r="AK99"/>
      <c r="AL99"/>
      <c r="AM99"/>
      <c r="AN99"/>
      <c r="AO99"/>
      <c r="AP99"/>
      <c r="AQ99"/>
      <c r="AR99"/>
      <c r="AS99"/>
      <c r="AT99"/>
      <c r="AU99"/>
      <c r="AV99"/>
      <c r="AW99"/>
      <c r="AX99"/>
      <c r="AY99"/>
      <c r="AZ99"/>
      <c r="BA99"/>
      <c r="BB99"/>
      <c r="BC99"/>
      <c r="BD99"/>
      <c r="BE99"/>
      <c r="BF99"/>
      <c r="BG99"/>
      <c r="BH99"/>
      <c r="BI99"/>
      <c r="BJ99"/>
      <c r="BK99"/>
      <c r="BL99"/>
      <c r="BM99"/>
      <c r="BN99"/>
      <c r="BO99"/>
      <c r="BP99"/>
      <c r="BQ99"/>
      <c r="BR99"/>
      <c r="BS99"/>
      <c r="BT99"/>
      <c r="BU99"/>
      <c r="BV99"/>
      <c r="BW99"/>
      <c r="BX99"/>
      <c r="BY99"/>
      <c r="BZ99"/>
      <c r="CA99"/>
      <c r="CB99"/>
      <c r="CC99"/>
      <c r="CD99"/>
      <c r="CE99"/>
      <c r="CF99"/>
      <c r="CG99"/>
      <c r="CH99"/>
      <c r="CI99"/>
      <c r="CJ99"/>
      <c r="CK99"/>
      <c r="CL99"/>
      <c r="CM99"/>
      <c r="CN99"/>
      <c r="CO99"/>
      <c r="CP99"/>
      <c r="CQ99"/>
      <c r="CR99"/>
      <c r="CS99"/>
      <c r="CT99"/>
      <c r="CU99"/>
      <c r="CV99"/>
      <c r="CW99"/>
      <c r="CX99"/>
      <c r="CY99"/>
      <c r="CZ99"/>
      <c r="DA99"/>
      <c r="DB99"/>
      <c r="DC99"/>
      <c r="DD99"/>
      <c r="DE99"/>
      <c r="DF99"/>
      <c r="DG99"/>
      <c r="DH99"/>
      <c r="DI99"/>
      <c r="DJ99"/>
      <c r="DK99"/>
      <c r="DL99"/>
      <c r="DM99"/>
      <c r="DN99"/>
      <c r="DO99"/>
      <c r="DP99"/>
      <c r="DQ99"/>
      <c r="DR99"/>
      <c r="DS99"/>
      <c r="DT99"/>
      <c r="DU99"/>
      <c r="DV99"/>
      <c r="DW99"/>
    </row>
    <row r="100" spans="1:127" s="2" customFormat="1" x14ac:dyDescent="0.3">
      <c r="A100" s="5"/>
      <c r="C100"/>
      <c r="D100"/>
      <c r="E100"/>
      <c r="F100"/>
      <c r="G100"/>
      <c r="H100"/>
      <c r="I100"/>
      <c r="J100"/>
      <c r="K100"/>
      <c r="L100"/>
      <c r="M100"/>
      <c r="N100"/>
      <c r="O100"/>
      <c r="P100"/>
      <c r="Q100"/>
      <c r="R100"/>
      <c r="S100"/>
      <c r="T100"/>
      <c r="U100"/>
      <c r="V100"/>
      <c r="W100"/>
      <c r="X100"/>
      <c r="Y100"/>
      <c r="Z100"/>
      <c r="AA100"/>
      <c r="AB100"/>
      <c r="AC100"/>
      <c r="AD100"/>
      <c r="AE100"/>
      <c r="AF100"/>
      <c r="AG100"/>
      <c r="AH100"/>
      <c r="AI100"/>
      <c r="AJ100"/>
      <c r="AK100"/>
      <c r="AL100"/>
      <c r="AM100"/>
      <c r="AN100"/>
      <c r="AO100"/>
      <c r="AP100"/>
      <c r="AQ100"/>
      <c r="AR100"/>
      <c r="AS100"/>
      <c r="AT100"/>
      <c r="AU100"/>
      <c r="AV100"/>
      <c r="AW100"/>
      <c r="AX100"/>
      <c r="AY100"/>
      <c r="AZ100"/>
      <c r="BA100"/>
      <c r="BB100"/>
      <c r="BC100"/>
      <c r="BD100"/>
      <c r="BE100"/>
      <c r="BF100"/>
      <c r="BG100"/>
      <c r="BH100"/>
      <c r="BI100"/>
      <c r="BJ100"/>
      <c r="BK100"/>
      <c r="BL100"/>
      <c r="BM100"/>
      <c r="BN100"/>
      <c r="BO100"/>
      <c r="BP100"/>
      <c r="BQ100"/>
      <c r="BR100"/>
      <c r="BS100"/>
      <c r="BT100"/>
      <c r="BU100"/>
      <c r="BV100"/>
      <c r="BW100"/>
      <c r="BX100"/>
      <c r="BY100"/>
      <c r="BZ100"/>
      <c r="CA100"/>
      <c r="CB100"/>
      <c r="CC100"/>
      <c r="CD100"/>
      <c r="CE100"/>
      <c r="CF100"/>
      <c r="CG100"/>
      <c r="CH100"/>
      <c r="CI100"/>
      <c r="CJ100"/>
      <c r="CK100"/>
      <c r="CL100"/>
      <c r="CM100"/>
      <c r="CN100"/>
      <c r="CO100"/>
      <c r="CP100"/>
      <c r="CQ100"/>
      <c r="CR100"/>
      <c r="CS100"/>
      <c r="CT100"/>
      <c r="CU100"/>
      <c r="CV100"/>
      <c r="CW100"/>
      <c r="CX100"/>
      <c r="CY100"/>
      <c r="CZ100"/>
      <c r="DA100"/>
      <c r="DB100"/>
      <c r="DC100"/>
      <c r="DD100"/>
      <c r="DE100"/>
      <c r="DF100"/>
      <c r="DG100"/>
      <c r="DH100"/>
      <c r="DI100"/>
      <c r="DJ100"/>
      <c r="DK100"/>
      <c r="DL100"/>
      <c r="DM100"/>
      <c r="DN100"/>
      <c r="DO100"/>
      <c r="DP100"/>
      <c r="DQ100"/>
      <c r="DR100"/>
      <c r="DS100"/>
      <c r="DT100"/>
      <c r="DU100"/>
      <c r="DV100"/>
      <c r="DW100"/>
    </row>
    <row r="101" spans="1:127" s="2" customFormat="1" x14ac:dyDescent="0.3">
      <c r="A101" s="5"/>
      <c r="C101"/>
      <c r="D101"/>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c r="AY101"/>
      <c r="AZ101"/>
      <c r="BA101"/>
      <c r="BB101"/>
      <c r="BC101"/>
      <c r="BD101"/>
      <c r="BE101"/>
      <c r="BF101"/>
      <c r="BG101"/>
      <c r="BH101"/>
      <c r="BI101"/>
      <c r="BJ101"/>
      <c r="BK101"/>
      <c r="BL101"/>
      <c r="BM101"/>
      <c r="BN101"/>
      <c r="BO101"/>
      <c r="BP101"/>
      <c r="BQ101"/>
      <c r="BR101"/>
      <c r="BS101"/>
      <c r="BT101"/>
      <c r="BU101"/>
      <c r="BV101"/>
      <c r="BW101"/>
      <c r="BX101"/>
      <c r="BY101"/>
      <c r="BZ101"/>
      <c r="CA101"/>
      <c r="CB101"/>
      <c r="CC101"/>
      <c r="CD101"/>
      <c r="CE101"/>
      <c r="CF101"/>
      <c r="CG101"/>
      <c r="CH101"/>
      <c r="CI101"/>
      <c r="CJ101"/>
      <c r="CK101"/>
      <c r="CL101"/>
      <c r="CM101"/>
      <c r="CN101"/>
      <c r="CO101"/>
      <c r="CP101"/>
      <c r="CQ101"/>
      <c r="CR101"/>
      <c r="CS101"/>
      <c r="CT101"/>
      <c r="CU101"/>
      <c r="CV101"/>
      <c r="CW101"/>
      <c r="CX101"/>
      <c r="CY101"/>
      <c r="CZ101"/>
      <c r="DA101"/>
      <c r="DB101"/>
      <c r="DC101"/>
      <c r="DD101"/>
      <c r="DE101"/>
      <c r="DF101"/>
      <c r="DG101"/>
      <c r="DH101"/>
      <c r="DI101"/>
      <c r="DJ101"/>
      <c r="DK101"/>
      <c r="DL101"/>
      <c r="DM101"/>
      <c r="DN101"/>
      <c r="DO101"/>
      <c r="DP101"/>
      <c r="DQ101"/>
      <c r="DR101"/>
      <c r="DS101"/>
      <c r="DT101"/>
      <c r="DU101"/>
      <c r="DV101"/>
      <c r="DW101"/>
    </row>
    <row r="102" spans="1:127" s="2" customFormat="1" x14ac:dyDescent="0.3">
      <c r="A102" s="5"/>
      <c r="C102"/>
      <c r="D102"/>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c r="BD102"/>
      <c r="BE102"/>
      <c r="BF102"/>
      <c r="BG102"/>
      <c r="BH102"/>
      <c r="BI102"/>
      <c r="BJ102"/>
      <c r="BK102"/>
      <c r="BL102"/>
      <c r="BM102"/>
      <c r="BN102"/>
      <c r="BO102"/>
      <c r="BP102"/>
      <c r="BQ102"/>
      <c r="BR102"/>
      <c r="BS102"/>
      <c r="BT102"/>
      <c r="BU102"/>
      <c r="BV102"/>
      <c r="BW102"/>
      <c r="BX102"/>
      <c r="BY102"/>
      <c r="BZ102"/>
      <c r="CA102"/>
      <c r="CB102"/>
      <c r="CC102"/>
      <c r="CD102"/>
      <c r="CE102"/>
      <c r="CF102"/>
      <c r="CG102"/>
      <c r="CH102"/>
      <c r="CI102"/>
      <c r="CJ102"/>
      <c r="CK102"/>
      <c r="CL102"/>
      <c r="CM102"/>
      <c r="CN102"/>
      <c r="CO102"/>
      <c r="CP102"/>
      <c r="CQ102"/>
      <c r="CR102"/>
      <c r="CS102"/>
      <c r="CT102"/>
      <c r="CU102"/>
      <c r="CV102"/>
      <c r="CW102"/>
      <c r="CX102"/>
      <c r="CY102"/>
      <c r="CZ102"/>
      <c r="DA102"/>
      <c r="DB102"/>
      <c r="DC102"/>
      <c r="DD102"/>
      <c r="DE102"/>
      <c r="DF102"/>
      <c r="DG102"/>
      <c r="DH102"/>
      <c r="DI102"/>
      <c r="DJ102"/>
      <c r="DK102"/>
      <c r="DL102"/>
      <c r="DM102"/>
      <c r="DN102"/>
      <c r="DO102"/>
      <c r="DP102"/>
      <c r="DQ102"/>
      <c r="DR102"/>
      <c r="DS102"/>
      <c r="DT102"/>
      <c r="DU102"/>
      <c r="DV102"/>
      <c r="DW102"/>
    </row>
    <row r="103" spans="1:127" s="2" customFormat="1" x14ac:dyDescent="0.3">
      <c r="A103" s="5"/>
      <c r="C103"/>
      <c r="D103"/>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c r="BH103"/>
      <c r="BI103"/>
      <c r="BJ103"/>
      <c r="BK103"/>
      <c r="BL103"/>
      <c r="BM103"/>
      <c r="BN103"/>
      <c r="BO103"/>
      <c r="BP103"/>
      <c r="BQ103"/>
      <c r="BR103"/>
      <c r="BS103"/>
      <c r="BT103"/>
      <c r="BU103"/>
      <c r="BV103"/>
      <c r="BW103"/>
      <c r="BX103"/>
      <c r="BY103"/>
      <c r="BZ103"/>
      <c r="CA103"/>
      <c r="CB103"/>
      <c r="CC103"/>
      <c r="CD103"/>
      <c r="CE103"/>
      <c r="CF103"/>
      <c r="CG103"/>
      <c r="CH103"/>
      <c r="CI103"/>
      <c r="CJ103"/>
      <c r="CK103"/>
      <c r="CL103"/>
      <c r="CM103"/>
      <c r="CN103"/>
      <c r="CO103"/>
      <c r="CP103"/>
      <c r="CQ103"/>
      <c r="CR103"/>
      <c r="CS103"/>
      <c r="CT103"/>
      <c r="CU103"/>
      <c r="CV103"/>
      <c r="CW103"/>
      <c r="CX103"/>
      <c r="CY103"/>
      <c r="CZ103"/>
      <c r="DA103"/>
      <c r="DB103"/>
      <c r="DC103"/>
      <c r="DD103"/>
      <c r="DE103"/>
      <c r="DF103"/>
      <c r="DG103"/>
      <c r="DH103"/>
      <c r="DI103"/>
      <c r="DJ103"/>
      <c r="DK103"/>
      <c r="DL103"/>
      <c r="DM103"/>
      <c r="DN103"/>
      <c r="DO103"/>
      <c r="DP103"/>
      <c r="DQ103"/>
      <c r="DR103"/>
      <c r="DS103"/>
      <c r="DT103"/>
      <c r="DU103"/>
      <c r="DV103"/>
      <c r="DW103"/>
    </row>
    <row r="104" spans="1:127" s="2" customFormat="1" x14ac:dyDescent="0.3">
      <c r="A104" s="5"/>
      <c r="C104"/>
      <c r="D104"/>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G104"/>
      <c r="BH104"/>
      <c r="BI104"/>
      <c r="BJ104"/>
      <c r="BK104"/>
      <c r="BL104"/>
      <c r="BM104"/>
      <c r="BN104"/>
      <c r="BO104"/>
      <c r="BP104"/>
      <c r="BQ104"/>
      <c r="BR104"/>
      <c r="BS104"/>
      <c r="BT104"/>
      <c r="BU104"/>
      <c r="BV104"/>
      <c r="BW104"/>
      <c r="BX104"/>
      <c r="BY104"/>
      <c r="BZ104"/>
      <c r="CA104"/>
      <c r="CB104"/>
      <c r="CC104"/>
      <c r="CD104"/>
      <c r="CE104"/>
      <c r="CF104"/>
      <c r="CG104"/>
      <c r="CH104"/>
      <c r="CI104"/>
      <c r="CJ104"/>
      <c r="CK104"/>
      <c r="CL104"/>
      <c r="CM104"/>
      <c r="CN104"/>
      <c r="CO104"/>
      <c r="CP104"/>
      <c r="CQ104"/>
      <c r="CR104"/>
      <c r="CS104"/>
      <c r="CT104"/>
      <c r="CU104"/>
      <c r="CV104"/>
      <c r="CW104"/>
      <c r="CX104"/>
      <c r="CY104"/>
      <c r="CZ104"/>
      <c r="DA104"/>
      <c r="DB104"/>
      <c r="DC104"/>
      <c r="DD104"/>
      <c r="DE104"/>
      <c r="DF104"/>
      <c r="DG104"/>
      <c r="DH104"/>
      <c r="DI104"/>
      <c r="DJ104"/>
      <c r="DK104"/>
      <c r="DL104"/>
      <c r="DM104"/>
      <c r="DN104"/>
      <c r="DO104"/>
      <c r="DP104"/>
      <c r="DQ104"/>
      <c r="DR104"/>
      <c r="DS104"/>
      <c r="DT104"/>
      <c r="DU104"/>
      <c r="DV104"/>
      <c r="DW104"/>
    </row>
    <row r="105" spans="1:127" s="2" customFormat="1" x14ac:dyDescent="0.3">
      <c r="A105" s="5"/>
      <c r="C105"/>
      <c r="D105"/>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c r="BF105"/>
      <c r="BG105"/>
      <c r="BH105"/>
      <c r="BI105"/>
      <c r="BJ105"/>
      <c r="BK105"/>
      <c r="BL105"/>
      <c r="BM105"/>
      <c r="BN105"/>
      <c r="BO105"/>
      <c r="BP105"/>
      <c r="BQ105"/>
      <c r="BR105"/>
      <c r="BS105"/>
      <c r="BT105"/>
      <c r="BU105"/>
      <c r="BV105"/>
      <c r="BW105"/>
      <c r="BX105"/>
      <c r="BY105"/>
      <c r="BZ105"/>
      <c r="CA105"/>
      <c r="CB105"/>
      <c r="CC105"/>
      <c r="CD105"/>
      <c r="CE105"/>
      <c r="CF105"/>
      <c r="CG105"/>
      <c r="CH105"/>
      <c r="CI105"/>
      <c r="CJ105"/>
      <c r="CK105"/>
      <c r="CL105"/>
      <c r="CM105"/>
      <c r="CN105"/>
      <c r="CO105"/>
      <c r="CP105"/>
      <c r="CQ105"/>
      <c r="CR105"/>
      <c r="CS105"/>
      <c r="CT105"/>
      <c r="CU105"/>
      <c r="CV105"/>
      <c r="CW105"/>
      <c r="CX105"/>
      <c r="CY105"/>
      <c r="CZ105"/>
      <c r="DA105"/>
      <c r="DB105"/>
      <c r="DC105"/>
      <c r="DD105"/>
      <c r="DE105"/>
      <c r="DF105"/>
      <c r="DG105"/>
      <c r="DH105"/>
      <c r="DI105"/>
      <c r="DJ105"/>
      <c r="DK105"/>
      <c r="DL105"/>
      <c r="DM105"/>
      <c r="DN105"/>
      <c r="DO105"/>
      <c r="DP105"/>
      <c r="DQ105"/>
      <c r="DR105"/>
      <c r="DS105"/>
      <c r="DT105"/>
      <c r="DU105"/>
      <c r="DV105"/>
      <c r="DW105"/>
    </row>
    <row r="106" spans="1:127" s="2" customFormat="1" x14ac:dyDescent="0.3">
      <c r="A106" s="5"/>
      <c r="C106"/>
      <c r="D106"/>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c r="BM106"/>
      <c r="BN106"/>
      <c r="BO106"/>
      <c r="BP106"/>
      <c r="BQ106"/>
      <c r="BR106"/>
      <c r="BS106"/>
      <c r="BT106"/>
      <c r="BU106"/>
      <c r="BV106"/>
      <c r="BW106"/>
      <c r="BX106"/>
      <c r="BY106"/>
      <c r="BZ106"/>
      <c r="CA106"/>
      <c r="CB106"/>
      <c r="CC106"/>
      <c r="CD106"/>
      <c r="CE106"/>
      <c r="CF106"/>
      <c r="CG106"/>
      <c r="CH106"/>
      <c r="CI106"/>
      <c r="CJ106"/>
      <c r="CK106"/>
      <c r="CL106"/>
      <c r="CM106"/>
      <c r="CN106"/>
      <c r="CO106"/>
      <c r="CP106"/>
      <c r="CQ106"/>
      <c r="CR106"/>
      <c r="CS106"/>
      <c r="CT106"/>
      <c r="CU106"/>
      <c r="CV106"/>
      <c r="CW106"/>
      <c r="CX106"/>
      <c r="CY106"/>
      <c r="CZ106"/>
      <c r="DA106"/>
      <c r="DB106"/>
      <c r="DC106"/>
      <c r="DD106"/>
      <c r="DE106"/>
      <c r="DF106"/>
      <c r="DG106"/>
      <c r="DH106"/>
      <c r="DI106"/>
      <c r="DJ106"/>
      <c r="DK106"/>
      <c r="DL106"/>
      <c r="DM106"/>
      <c r="DN106"/>
      <c r="DO106"/>
      <c r="DP106"/>
      <c r="DQ106"/>
      <c r="DR106"/>
      <c r="DS106"/>
      <c r="DT106"/>
      <c r="DU106"/>
      <c r="DV106"/>
      <c r="DW106"/>
    </row>
    <row r="107" spans="1:127" s="2" customFormat="1" x14ac:dyDescent="0.3">
      <c r="A107" s="5"/>
      <c r="C107"/>
      <c r="D107"/>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c r="BM107"/>
      <c r="BN107"/>
      <c r="BO107"/>
      <c r="BP107"/>
      <c r="BQ107"/>
      <c r="BR107"/>
      <c r="BS107"/>
      <c r="BT107"/>
      <c r="BU107"/>
      <c r="BV107"/>
      <c r="BW107"/>
      <c r="BX107"/>
      <c r="BY107"/>
      <c r="BZ107"/>
      <c r="CA107"/>
      <c r="CB107"/>
      <c r="CC107"/>
      <c r="CD107"/>
      <c r="CE107"/>
      <c r="CF107"/>
      <c r="CG107"/>
      <c r="CH107"/>
      <c r="CI107"/>
      <c r="CJ107"/>
      <c r="CK107"/>
      <c r="CL107"/>
      <c r="CM107"/>
      <c r="CN107"/>
      <c r="CO107"/>
      <c r="CP107"/>
      <c r="CQ107"/>
      <c r="CR107"/>
      <c r="CS107"/>
      <c r="CT107"/>
      <c r="CU107"/>
      <c r="CV107"/>
      <c r="CW107"/>
      <c r="CX107"/>
      <c r="CY107"/>
      <c r="CZ107"/>
      <c r="DA107"/>
      <c r="DB107"/>
      <c r="DC107"/>
      <c r="DD107"/>
      <c r="DE107"/>
      <c r="DF107"/>
      <c r="DG107"/>
      <c r="DH107"/>
      <c r="DI107"/>
      <c r="DJ107"/>
      <c r="DK107"/>
      <c r="DL107"/>
      <c r="DM107"/>
      <c r="DN107"/>
      <c r="DO107"/>
      <c r="DP107"/>
      <c r="DQ107"/>
      <c r="DR107"/>
      <c r="DS107"/>
      <c r="DT107"/>
      <c r="DU107"/>
      <c r="DV107"/>
      <c r="DW107"/>
    </row>
    <row r="108" spans="1:127" s="2" customFormat="1" x14ac:dyDescent="0.3">
      <c r="A108" s="5"/>
      <c r="C108"/>
      <c r="D108"/>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c r="BM108"/>
      <c r="BN108"/>
      <c r="BO108"/>
      <c r="BP108"/>
      <c r="BQ108"/>
      <c r="BR108"/>
      <c r="BS108"/>
      <c r="BT108"/>
      <c r="BU108"/>
      <c r="BV108"/>
      <c r="BW108"/>
      <c r="BX108"/>
      <c r="BY108"/>
      <c r="BZ108"/>
      <c r="CA108"/>
      <c r="CB108"/>
      <c r="CC108"/>
      <c r="CD108"/>
      <c r="CE108"/>
      <c r="CF108"/>
      <c r="CG108"/>
      <c r="CH108"/>
      <c r="CI108"/>
      <c r="CJ108"/>
      <c r="CK108"/>
      <c r="CL108"/>
      <c r="CM108"/>
      <c r="CN108"/>
      <c r="CO108"/>
      <c r="CP108"/>
      <c r="CQ108"/>
      <c r="CR108"/>
      <c r="CS108"/>
      <c r="CT108"/>
      <c r="CU108"/>
      <c r="CV108"/>
      <c r="CW108"/>
      <c r="CX108"/>
      <c r="CY108"/>
      <c r="CZ108"/>
      <c r="DA108"/>
      <c r="DB108"/>
      <c r="DC108"/>
      <c r="DD108"/>
      <c r="DE108"/>
      <c r="DF108"/>
      <c r="DG108"/>
      <c r="DH108"/>
      <c r="DI108"/>
      <c r="DJ108"/>
      <c r="DK108"/>
      <c r="DL108"/>
      <c r="DM108"/>
      <c r="DN108"/>
      <c r="DO108"/>
      <c r="DP108"/>
      <c r="DQ108"/>
      <c r="DR108"/>
      <c r="DS108"/>
      <c r="DT108"/>
      <c r="DU108"/>
      <c r="DV108"/>
      <c r="DW108"/>
    </row>
    <row r="109" spans="1:127" s="2" customFormat="1" x14ac:dyDescent="0.3">
      <c r="A109" s="5"/>
      <c r="C109"/>
      <c r="D109"/>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c r="BL109"/>
      <c r="BM109"/>
      <c r="BN109"/>
      <c r="BO109"/>
      <c r="BP109"/>
      <c r="BQ109"/>
      <c r="BR109"/>
      <c r="BS109"/>
      <c r="BT109"/>
      <c r="BU109"/>
      <c r="BV109"/>
      <c r="BW109"/>
      <c r="BX109"/>
      <c r="BY109"/>
      <c r="BZ109"/>
      <c r="CA109"/>
      <c r="CB109"/>
      <c r="CC109"/>
      <c r="CD109"/>
      <c r="CE109"/>
      <c r="CF109"/>
      <c r="CG109"/>
      <c r="CH109"/>
      <c r="CI109"/>
      <c r="CJ109"/>
      <c r="CK109"/>
      <c r="CL109"/>
      <c r="CM109"/>
      <c r="CN109"/>
      <c r="CO109"/>
      <c r="CP109"/>
      <c r="CQ109"/>
      <c r="CR109"/>
      <c r="CS109"/>
      <c r="CT109"/>
      <c r="CU109"/>
      <c r="CV109"/>
      <c r="CW109"/>
      <c r="CX109"/>
      <c r="CY109"/>
      <c r="CZ109"/>
      <c r="DA109"/>
      <c r="DB109"/>
      <c r="DC109"/>
      <c r="DD109"/>
      <c r="DE109"/>
      <c r="DF109"/>
      <c r="DG109"/>
      <c r="DH109"/>
      <c r="DI109"/>
      <c r="DJ109"/>
      <c r="DK109"/>
      <c r="DL109"/>
      <c r="DM109"/>
      <c r="DN109"/>
      <c r="DO109"/>
      <c r="DP109"/>
      <c r="DQ109"/>
      <c r="DR109"/>
      <c r="DS109"/>
      <c r="DT109"/>
      <c r="DU109"/>
      <c r="DV109"/>
      <c r="DW109"/>
    </row>
    <row r="110" spans="1:127" s="2" customFormat="1" x14ac:dyDescent="0.3">
      <c r="A110" s="5"/>
      <c r="C110"/>
      <c r="D110"/>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c r="BC110"/>
      <c r="BD110"/>
      <c r="BE110"/>
      <c r="BF110"/>
      <c r="BG110"/>
      <c r="BH110"/>
      <c r="BI110"/>
      <c r="BJ110"/>
      <c r="BK110"/>
      <c r="BL110"/>
      <c r="BM110"/>
      <c r="BN110"/>
      <c r="BO110"/>
      <c r="BP110"/>
      <c r="BQ110"/>
      <c r="BR110"/>
      <c r="BS110"/>
      <c r="BT110"/>
      <c r="BU110"/>
      <c r="BV110"/>
      <c r="BW110"/>
      <c r="BX110"/>
      <c r="BY110"/>
      <c r="BZ110"/>
      <c r="CA110"/>
      <c r="CB110"/>
      <c r="CC110"/>
      <c r="CD110"/>
      <c r="CE110"/>
      <c r="CF110"/>
      <c r="CG110"/>
      <c r="CH110"/>
      <c r="CI110"/>
      <c r="CJ110"/>
      <c r="CK110"/>
      <c r="CL110"/>
      <c r="CM110"/>
      <c r="CN110"/>
      <c r="CO110"/>
      <c r="CP110"/>
      <c r="CQ110"/>
      <c r="CR110"/>
      <c r="CS110"/>
      <c r="CT110"/>
      <c r="CU110"/>
      <c r="CV110"/>
      <c r="CW110"/>
      <c r="CX110"/>
      <c r="CY110"/>
      <c r="CZ110"/>
      <c r="DA110"/>
      <c r="DB110"/>
      <c r="DC110"/>
      <c r="DD110"/>
      <c r="DE110"/>
      <c r="DF110"/>
      <c r="DG110"/>
      <c r="DH110"/>
      <c r="DI110"/>
      <c r="DJ110"/>
      <c r="DK110"/>
      <c r="DL110"/>
      <c r="DM110"/>
      <c r="DN110"/>
      <c r="DO110"/>
      <c r="DP110"/>
      <c r="DQ110"/>
      <c r="DR110"/>
      <c r="DS110"/>
      <c r="DT110"/>
      <c r="DU110"/>
      <c r="DV110"/>
      <c r="DW110"/>
    </row>
    <row r="111" spans="1:127" s="2" customFormat="1" x14ac:dyDescent="0.3">
      <c r="A111" s="5"/>
      <c r="C111"/>
      <c r="D111"/>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c r="BD111"/>
      <c r="BE111"/>
      <c r="BF111"/>
      <c r="BG111"/>
      <c r="BH111"/>
      <c r="BI111"/>
      <c r="BJ111"/>
      <c r="BK111"/>
      <c r="BL111"/>
      <c r="BM111"/>
      <c r="BN111"/>
      <c r="BO111"/>
      <c r="BP111"/>
      <c r="BQ111"/>
      <c r="BR111"/>
      <c r="BS111"/>
      <c r="BT111"/>
      <c r="BU111"/>
      <c r="BV111"/>
      <c r="BW111"/>
      <c r="BX111"/>
      <c r="BY111"/>
      <c r="BZ111"/>
      <c r="CA111"/>
      <c r="CB111"/>
      <c r="CC111"/>
      <c r="CD111"/>
      <c r="CE111"/>
      <c r="CF111"/>
      <c r="CG111"/>
      <c r="CH111"/>
      <c r="CI111"/>
      <c r="CJ111"/>
      <c r="CK111"/>
      <c r="CL111"/>
      <c r="CM111"/>
      <c r="CN111"/>
      <c r="CO111"/>
      <c r="CP111"/>
      <c r="CQ111"/>
      <c r="CR111"/>
      <c r="CS111"/>
      <c r="CT111"/>
      <c r="CU111"/>
      <c r="CV111"/>
      <c r="CW111"/>
      <c r="CX111"/>
      <c r="CY111"/>
      <c r="CZ111"/>
      <c r="DA111"/>
      <c r="DB111"/>
      <c r="DC111"/>
      <c r="DD111"/>
      <c r="DE111"/>
      <c r="DF111"/>
      <c r="DG111"/>
      <c r="DH111"/>
      <c r="DI111"/>
      <c r="DJ111"/>
      <c r="DK111"/>
      <c r="DL111"/>
      <c r="DM111"/>
      <c r="DN111"/>
      <c r="DO111"/>
      <c r="DP111"/>
      <c r="DQ111"/>
      <c r="DR111"/>
      <c r="DS111"/>
      <c r="DT111"/>
      <c r="DU111"/>
      <c r="DV111"/>
      <c r="DW111"/>
    </row>
    <row r="112" spans="1:127" s="2" customFormat="1" x14ac:dyDescent="0.3">
      <c r="A112" s="5"/>
      <c r="C112"/>
      <c r="D112"/>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c r="BA112"/>
      <c r="BB112"/>
      <c r="BC112"/>
      <c r="BD112"/>
      <c r="BE112"/>
      <c r="BF112"/>
      <c r="BG112"/>
      <c r="BH112"/>
      <c r="BI112"/>
      <c r="BJ112"/>
      <c r="BK112"/>
      <c r="BL112"/>
      <c r="BM112"/>
      <c r="BN112"/>
      <c r="BO112"/>
      <c r="BP112"/>
      <c r="BQ112"/>
      <c r="BR112"/>
      <c r="BS112"/>
      <c r="BT112"/>
      <c r="BU112"/>
      <c r="BV112"/>
      <c r="BW112"/>
      <c r="BX112"/>
      <c r="BY112"/>
      <c r="BZ112"/>
      <c r="CA112"/>
      <c r="CB112"/>
      <c r="CC112"/>
      <c r="CD112"/>
      <c r="CE112"/>
      <c r="CF112"/>
      <c r="CG112"/>
      <c r="CH112"/>
      <c r="CI112"/>
      <c r="CJ112"/>
      <c r="CK112"/>
      <c r="CL112"/>
      <c r="CM112"/>
      <c r="CN112"/>
      <c r="CO112"/>
      <c r="CP112"/>
      <c r="CQ112"/>
      <c r="CR112"/>
      <c r="CS112"/>
      <c r="CT112"/>
      <c r="CU112"/>
      <c r="CV112"/>
      <c r="CW112"/>
      <c r="CX112"/>
      <c r="CY112"/>
      <c r="CZ112"/>
      <c r="DA112"/>
      <c r="DB112"/>
      <c r="DC112"/>
      <c r="DD112"/>
      <c r="DE112"/>
      <c r="DF112"/>
      <c r="DG112"/>
      <c r="DH112"/>
      <c r="DI112"/>
      <c r="DJ112"/>
      <c r="DK112"/>
      <c r="DL112"/>
      <c r="DM112"/>
      <c r="DN112"/>
      <c r="DO112"/>
      <c r="DP112"/>
      <c r="DQ112"/>
      <c r="DR112"/>
      <c r="DS112"/>
      <c r="DT112"/>
      <c r="DU112"/>
      <c r="DV112"/>
      <c r="DW112"/>
    </row>
    <row r="113" spans="1:127" s="2" customFormat="1" x14ac:dyDescent="0.3">
      <c r="A113" s="5"/>
      <c r="C113"/>
      <c r="D113"/>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c r="BM113"/>
      <c r="BN113"/>
      <c r="BO113"/>
      <c r="BP113"/>
      <c r="BQ113"/>
      <c r="BR113"/>
      <c r="BS113"/>
      <c r="BT113"/>
      <c r="BU113"/>
      <c r="BV113"/>
      <c r="BW113"/>
      <c r="BX113"/>
      <c r="BY113"/>
      <c r="BZ113"/>
      <c r="CA113"/>
      <c r="CB113"/>
      <c r="CC113"/>
      <c r="CD113"/>
      <c r="CE113"/>
      <c r="CF113"/>
      <c r="CG113"/>
      <c r="CH113"/>
      <c r="CI113"/>
      <c r="CJ113"/>
      <c r="CK113"/>
      <c r="CL113"/>
      <c r="CM113"/>
      <c r="CN113"/>
      <c r="CO113"/>
      <c r="CP113"/>
      <c r="CQ113"/>
      <c r="CR113"/>
      <c r="CS113"/>
      <c r="CT113"/>
      <c r="CU113"/>
      <c r="CV113"/>
      <c r="CW113"/>
      <c r="CX113"/>
      <c r="CY113"/>
      <c r="CZ113"/>
      <c r="DA113"/>
      <c r="DB113"/>
      <c r="DC113"/>
      <c r="DD113"/>
      <c r="DE113"/>
      <c r="DF113"/>
      <c r="DG113"/>
      <c r="DH113"/>
      <c r="DI113"/>
      <c r="DJ113"/>
      <c r="DK113"/>
      <c r="DL113"/>
      <c r="DM113"/>
      <c r="DN113"/>
      <c r="DO113"/>
      <c r="DP113"/>
      <c r="DQ113"/>
      <c r="DR113"/>
      <c r="DS113"/>
      <c r="DT113"/>
      <c r="DU113"/>
      <c r="DV113"/>
      <c r="DW113"/>
    </row>
    <row r="114" spans="1:127" s="2" customFormat="1" x14ac:dyDescent="0.3">
      <c r="A114" s="5"/>
      <c r="C114"/>
      <c r="D114"/>
      <c r="E114"/>
      <c r="F114"/>
      <c r="G114"/>
      <c r="H114"/>
      <c r="I114"/>
      <c r="J114"/>
      <c r="K114"/>
      <c r="L114"/>
      <c r="M114"/>
      <c r="N114"/>
      <c r="O114"/>
      <c r="P114"/>
      <c r="Q114"/>
      <c r="R114"/>
      <c r="S114"/>
      <c r="T114"/>
      <c r="U114"/>
      <c r="V114"/>
      <c r="W114"/>
      <c r="X114"/>
      <c r="Y114"/>
      <c r="Z114"/>
      <c r="AA114"/>
      <c r="AB114"/>
      <c r="AC114"/>
      <c r="AD114"/>
      <c r="AE114"/>
      <c r="AF114"/>
      <c r="AG114"/>
      <c r="AH114"/>
      <c r="AI114"/>
      <c r="AJ114"/>
      <c r="AK114"/>
      <c r="AL114"/>
      <c r="AM114"/>
      <c r="AN114"/>
      <c r="AO114"/>
      <c r="AP114"/>
      <c r="AQ114"/>
      <c r="AR114"/>
      <c r="AS114"/>
      <c r="AT114"/>
      <c r="AU114"/>
      <c r="AV114"/>
      <c r="AW114"/>
      <c r="AX114"/>
      <c r="AY114"/>
      <c r="AZ114"/>
      <c r="BA114"/>
      <c r="BB114"/>
      <c r="BC114"/>
      <c r="BD114"/>
      <c r="BE114"/>
      <c r="BF114"/>
      <c r="BG114"/>
      <c r="BH114"/>
      <c r="BI114"/>
      <c r="BJ114"/>
      <c r="BK114"/>
      <c r="BL114"/>
      <c r="BM114"/>
      <c r="BN114"/>
      <c r="BO114"/>
      <c r="BP114"/>
      <c r="BQ114"/>
      <c r="BR114"/>
      <c r="BS114"/>
      <c r="BT114"/>
      <c r="BU114"/>
      <c r="BV114"/>
      <c r="BW114"/>
      <c r="BX114"/>
      <c r="BY114"/>
      <c r="BZ114"/>
      <c r="CA114"/>
      <c r="CB114"/>
      <c r="CC114"/>
      <c r="CD114"/>
      <c r="CE114"/>
      <c r="CF114"/>
      <c r="CG114"/>
      <c r="CH114"/>
      <c r="CI114"/>
      <c r="CJ114"/>
      <c r="CK114"/>
      <c r="CL114"/>
      <c r="CM114"/>
      <c r="CN114"/>
      <c r="CO114"/>
      <c r="CP114"/>
      <c r="CQ114"/>
      <c r="CR114"/>
      <c r="CS114"/>
      <c r="CT114"/>
      <c r="CU114"/>
      <c r="CV114"/>
      <c r="CW114"/>
      <c r="CX114"/>
      <c r="CY114"/>
      <c r="CZ114"/>
      <c r="DA114"/>
      <c r="DB114"/>
      <c r="DC114"/>
      <c r="DD114"/>
      <c r="DE114"/>
      <c r="DF114"/>
      <c r="DG114"/>
      <c r="DH114"/>
      <c r="DI114"/>
      <c r="DJ114"/>
      <c r="DK114"/>
      <c r="DL114"/>
      <c r="DM114"/>
      <c r="DN114"/>
      <c r="DO114"/>
      <c r="DP114"/>
      <c r="DQ114"/>
      <c r="DR114"/>
      <c r="DS114"/>
      <c r="DT114"/>
      <c r="DU114"/>
      <c r="DV114"/>
      <c r="DW114"/>
    </row>
    <row r="115" spans="1:127" s="2" customFormat="1" x14ac:dyDescent="0.3">
      <c r="A115" s="5"/>
      <c r="C115"/>
      <c r="D115"/>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c r="BB115"/>
      <c r="BC115"/>
      <c r="BD115"/>
      <c r="BE115"/>
      <c r="BF115"/>
      <c r="BG115"/>
      <c r="BH115"/>
      <c r="BI115"/>
      <c r="BJ115"/>
      <c r="BK115"/>
      <c r="BL115"/>
      <c r="BM115"/>
      <c r="BN115"/>
      <c r="BO115"/>
      <c r="BP115"/>
      <c r="BQ115"/>
      <c r="BR115"/>
      <c r="BS115"/>
      <c r="BT115"/>
      <c r="BU115"/>
      <c r="BV115"/>
      <c r="BW115"/>
      <c r="BX115"/>
      <c r="BY115"/>
      <c r="BZ115"/>
      <c r="CA115"/>
      <c r="CB115"/>
      <c r="CC115"/>
      <c r="CD115"/>
      <c r="CE115"/>
      <c r="CF115"/>
      <c r="CG115"/>
      <c r="CH115"/>
      <c r="CI115"/>
      <c r="CJ115"/>
      <c r="CK115"/>
      <c r="CL115"/>
      <c r="CM115"/>
      <c r="CN115"/>
      <c r="CO115"/>
      <c r="CP115"/>
      <c r="CQ115"/>
      <c r="CR115"/>
      <c r="CS115"/>
      <c r="CT115"/>
      <c r="CU115"/>
      <c r="CV115"/>
      <c r="CW115"/>
      <c r="CX115"/>
      <c r="CY115"/>
      <c r="CZ115"/>
      <c r="DA115"/>
      <c r="DB115"/>
      <c r="DC115"/>
      <c r="DD115"/>
      <c r="DE115"/>
      <c r="DF115"/>
      <c r="DG115"/>
      <c r="DH115"/>
      <c r="DI115"/>
      <c r="DJ115"/>
      <c r="DK115"/>
      <c r="DL115"/>
      <c r="DM115"/>
      <c r="DN115"/>
      <c r="DO115"/>
      <c r="DP115"/>
      <c r="DQ115"/>
      <c r="DR115"/>
      <c r="DS115"/>
      <c r="DT115"/>
      <c r="DU115"/>
      <c r="DV115"/>
      <c r="DW115"/>
    </row>
    <row r="116" spans="1:127" s="2" customFormat="1" x14ac:dyDescent="0.3">
      <c r="A116" s="5"/>
      <c r="C116"/>
      <c r="D116"/>
      <c r="E116"/>
      <c r="F116"/>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c r="AT116"/>
      <c r="AU116"/>
      <c r="AV116"/>
      <c r="AW116"/>
      <c r="AX116"/>
      <c r="AY116"/>
      <c r="AZ116"/>
      <c r="BA116"/>
      <c r="BB116"/>
      <c r="BC116"/>
      <c r="BD116"/>
      <c r="BE116"/>
      <c r="BF116"/>
      <c r="BG116"/>
      <c r="BH116"/>
      <c r="BI116"/>
      <c r="BJ116"/>
      <c r="BK116"/>
      <c r="BL116"/>
      <c r="BM116"/>
      <c r="BN116"/>
      <c r="BO116"/>
      <c r="BP116"/>
      <c r="BQ116"/>
      <c r="BR116"/>
      <c r="BS116"/>
      <c r="BT116"/>
      <c r="BU116"/>
      <c r="BV116"/>
      <c r="BW116"/>
      <c r="BX116"/>
      <c r="BY116"/>
      <c r="BZ116"/>
      <c r="CA116"/>
      <c r="CB116"/>
      <c r="CC116"/>
      <c r="CD116"/>
      <c r="CE116"/>
      <c r="CF116"/>
      <c r="CG116"/>
      <c r="CH116"/>
      <c r="CI116"/>
      <c r="CJ116"/>
      <c r="CK116"/>
      <c r="CL116"/>
      <c r="CM116"/>
      <c r="CN116"/>
      <c r="CO116"/>
      <c r="CP116"/>
      <c r="CQ116"/>
      <c r="CR116"/>
      <c r="CS116"/>
      <c r="CT116"/>
      <c r="CU116"/>
      <c r="CV116"/>
      <c r="CW116"/>
      <c r="CX116"/>
      <c r="CY116"/>
      <c r="CZ116"/>
      <c r="DA116"/>
      <c r="DB116"/>
      <c r="DC116"/>
      <c r="DD116"/>
      <c r="DE116"/>
      <c r="DF116"/>
      <c r="DG116"/>
      <c r="DH116"/>
      <c r="DI116"/>
      <c r="DJ116"/>
      <c r="DK116"/>
      <c r="DL116"/>
      <c r="DM116"/>
      <c r="DN116"/>
      <c r="DO116"/>
      <c r="DP116"/>
      <c r="DQ116"/>
      <c r="DR116"/>
      <c r="DS116"/>
      <c r="DT116"/>
      <c r="DU116"/>
      <c r="DV116"/>
      <c r="DW116"/>
    </row>
    <row r="117" spans="1:127" s="2" customFormat="1" x14ac:dyDescent="0.3">
      <c r="A117" s="5"/>
      <c r="C117"/>
      <c r="D117"/>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c r="BH117"/>
      <c r="BI117"/>
      <c r="BJ117"/>
      <c r="BK117"/>
      <c r="BL117"/>
      <c r="BM117"/>
      <c r="BN117"/>
      <c r="BO117"/>
      <c r="BP117"/>
      <c r="BQ117"/>
      <c r="BR117"/>
      <c r="BS117"/>
      <c r="BT117"/>
      <c r="BU117"/>
      <c r="BV117"/>
      <c r="BW117"/>
      <c r="BX117"/>
      <c r="BY117"/>
      <c r="BZ117"/>
      <c r="CA117"/>
      <c r="CB117"/>
      <c r="CC117"/>
      <c r="CD117"/>
      <c r="CE117"/>
      <c r="CF117"/>
      <c r="CG117"/>
      <c r="CH117"/>
      <c r="CI117"/>
      <c r="CJ117"/>
      <c r="CK117"/>
      <c r="CL117"/>
      <c r="CM117"/>
      <c r="CN117"/>
      <c r="CO117"/>
      <c r="CP117"/>
      <c r="CQ117"/>
      <c r="CR117"/>
      <c r="CS117"/>
      <c r="CT117"/>
      <c r="CU117"/>
      <c r="CV117"/>
      <c r="CW117"/>
      <c r="CX117"/>
      <c r="CY117"/>
      <c r="CZ117"/>
      <c r="DA117"/>
      <c r="DB117"/>
      <c r="DC117"/>
      <c r="DD117"/>
      <c r="DE117"/>
      <c r="DF117"/>
      <c r="DG117"/>
      <c r="DH117"/>
      <c r="DI117"/>
      <c r="DJ117"/>
      <c r="DK117"/>
      <c r="DL117"/>
      <c r="DM117"/>
      <c r="DN117"/>
      <c r="DO117"/>
      <c r="DP117"/>
      <c r="DQ117"/>
      <c r="DR117"/>
      <c r="DS117"/>
      <c r="DT117"/>
      <c r="DU117"/>
      <c r="DV117"/>
      <c r="DW117"/>
    </row>
    <row r="118" spans="1:127" s="2" customFormat="1" x14ac:dyDescent="0.3">
      <c r="A118" s="5"/>
      <c r="C118"/>
      <c r="D118"/>
      <c r="E118"/>
      <c r="F118"/>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c r="AR118"/>
      <c r="AS118"/>
      <c r="AT118"/>
      <c r="AU118"/>
      <c r="AV118"/>
      <c r="AW118"/>
      <c r="AX118"/>
      <c r="AY118"/>
      <c r="AZ118"/>
      <c r="BA118"/>
      <c r="BB118"/>
      <c r="BC118"/>
      <c r="BD118"/>
      <c r="BE118"/>
      <c r="BF118"/>
      <c r="BG118"/>
      <c r="BH118"/>
      <c r="BI118"/>
      <c r="BJ118"/>
      <c r="BK118"/>
      <c r="BL118"/>
      <c r="BM118"/>
      <c r="BN118"/>
      <c r="BO118"/>
      <c r="BP118"/>
      <c r="BQ118"/>
      <c r="BR118"/>
      <c r="BS118"/>
      <c r="BT118"/>
      <c r="BU118"/>
      <c r="BV118"/>
      <c r="BW118"/>
      <c r="BX118"/>
      <c r="BY118"/>
      <c r="BZ118"/>
      <c r="CA118"/>
      <c r="CB118"/>
      <c r="CC118"/>
      <c r="CD118"/>
      <c r="CE118"/>
      <c r="CF118"/>
      <c r="CG118"/>
      <c r="CH118"/>
      <c r="CI118"/>
      <c r="CJ118"/>
      <c r="CK118"/>
      <c r="CL118"/>
      <c r="CM118"/>
      <c r="CN118"/>
      <c r="CO118"/>
      <c r="CP118"/>
      <c r="CQ118"/>
      <c r="CR118"/>
      <c r="CS118"/>
      <c r="CT118"/>
      <c r="CU118"/>
      <c r="CV118"/>
      <c r="CW118"/>
      <c r="CX118"/>
      <c r="CY118"/>
      <c r="CZ118"/>
      <c r="DA118"/>
      <c r="DB118"/>
      <c r="DC118"/>
      <c r="DD118"/>
      <c r="DE118"/>
      <c r="DF118"/>
      <c r="DG118"/>
      <c r="DH118"/>
      <c r="DI118"/>
      <c r="DJ118"/>
      <c r="DK118"/>
      <c r="DL118"/>
      <c r="DM118"/>
      <c r="DN118"/>
      <c r="DO118"/>
      <c r="DP118"/>
      <c r="DQ118"/>
      <c r="DR118"/>
      <c r="DS118"/>
      <c r="DT118"/>
      <c r="DU118"/>
      <c r="DV118"/>
      <c r="DW118"/>
    </row>
    <row r="119" spans="1:127" s="2" customFormat="1" x14ac:dyDescent="0.3">
      <c r="A119" s="5"/>
      <c r="C119"/>
      <c r="D119"/>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c r="BG119"/>
      <c r="BH119"/>
      <c r="BI119"/>
      <c r="BJ119"/>
      <c r="BK119"/>
      <c r="BL119"/>
      <c r="BM119"/>
      <c r="BN119"/>
      <c r="BO119"/>
      <c r="BP119"/>
      <c r="BQ119"/>
      <c r="BR119"/>
      <c r="BS119"/>
      <c r="BT119"/>
      <c r="BU119"/>
      <c r="BV119"/>
      <c r="BW119"/>
      <c r="BX119"/>
      <c r="BY119"/>
      <c r="BZ119"/>
      <c r="CA119"/>
      <c r="CB119"/>
      <c r="CC119"/>
      <c r="CD119"/>
      <c r="CE119"/>
      <c r="CF119"/>
      <c r="CG119"/>
      <c r="CH119"/>
      <c r="CI119"/>
      <c r="CJ119"/>
      <c r="CK119"/>
      <c r="CL119"/>
      <c r="CM119"/>
      <c r="CN119"/>
      <c r="CO119"/>
      <c r="CP119"/>
      <c r="CQ119"/>
      <c r="CR119"/>
      <c r="CS119"/>
      <c r="CT119"/>
      <c r="CU119"/>
      <c r="CV119"/>
      <c r="CW119"/>
      <c r="CX119"/>
      <c r="CY119"/>
      <c r="CZ119"/>
      <c r="DA119"/>
      <c r="DB119"/>
      <c r="DC119"/>
      <c r="DD119"/>
      <c r="DE119"/>
      <c r="DF119"/>
      <c r="DG119"/>
      <c r="DH119"/>
      <c r="DI119"/>
      <c r="DJ119"/>
      <c r="DK119"/>
      <c r="DL119"/>
      <c r="DM119"/>
      <c r="DN119"/>
      <c r="DO119"/>
      <c r="DP119"/>
      <c r="DQ119"/>
      <c r="DR119"/>
      <c r="DS119"/>
      <c r="DT119"/>
      <c r="DU119"/>
      <c r="DV119"/>
      <c r="DW119"/>
    </row>
    <row r="120" spans="1:127" s="2" customFormat="1" x14ac:dyDescent="0.3">
      <c r="A120" s="5"/>
      <c r="C120"/>
      <c r="D120"/>
      <c r="E120"/>
      <c r="F120"/>
      <c r="G120"/>
      <c r="H120"/>
      <c r="I120"/>
      <c r="J120"/>
      <c r="K120"/>
      <c r="L120"/>
      <c r="M120"/>
      <c r="N120"/>
      <c r="O120"/>
      <c r="P120"/>
      <c r="Q120"/>
      <c r="R120"/>
      <c r="S120"/>
      <c r="T120"/>
      <c r="U120"/>
      <c r="V120"/>
      <c r="W120"/>
      <c r="X120"/>
      <c r="Y120"/>
      <c r="Z120"/>
      <c r="AA120"/>
      <c r="AB120"/>
      <c r="AC120"/>
      <c r="AD120"/>
      <c r="AE120"/>
      <c r="AF120"/>
      <c r="AG120"/>
      <c r="AH120"/>
      <c r="AI120"/>
      <c r="AJ120"/>
      <c r="AK120"/>
      <c r="AL120"/>
      <c r="AM120"/>
      <c r="AN120"/>
      <c r="AO120"/>
      <c r="AP120"/>
      <c r="AQ120"/>
      <c r="AR120"/>
      <c r="AS120"/>
      <c r="AT120"/>
      <c r="AU120"/>
      <c r="AV120"/>
      <c r="AW120"/>
      <c r="AX120"/>
      <c r="AY120"/>
      <c r="AZ120"/>
      <c r="BA120"/>
      <c r="BB120"/>
      <c r="BC120"/>
      <c r="BD120"/>
      <c r="BE120"/>
      <c r="BF120"/>
      <c r="BG120"/>
      <c r="BH120"/>
      <c r="BI120"/>
      <c r="BJ120"/>
      <c r="BK120"/>
      <c r="BL120"/>
      <c r="BM120"/>
      <c r="BN120"/>
      <c r="BO120"/>
      <c r="BP120"/>
      <c r="BQ120"/>
      <c r="BR120"/>
      <c r="BS120"/>
      <c r="BT120"/>
      <c r="BU120"/>
      <c r="BV120"/>
      <c r="BW120"/>
      <c r="BX120"/>
      <c r="BY120"/>
      <c r="BZ120"/>
      <c r="CA120"/>
      <c r="CB120"/>
      <c r="CC120"/>
      <c r="CD120"/>
      <c r="CE120"/>
      <c r="CF120"/>
      <c r="CG120"/>
      <c r="CH120"/>
      <c r="CI120"/>
      <c r="CJ120"/>
      <c r="CK120"/>
      <c r="CL120"/>
      <c r="CM120"/>
      <c r="CN120"/>
      <c r="CO120"/>
      <c r="CP120"/>
      <c r="CQ120"/>
      <c r="CR120"/>
      <c r="CS120"/>
      <c r="CT120"/>
      <c r="CU120"/>
      <c r="CV120"/>
      <c r="CW120"/>
      <c r="CX120"/>
      <c r="CY120"/>
      <c r="CZ120"/>
      <c r="DA120"/>
      <c r="DB120"/>
      <c r="DC120"/>
      <c r="DD120"/>
      <c r="DE120"/>
      <c r="DF120"/>
      <c r="DG120"/>
      <c r="DH120"/>
      <c r="DI120"/>
      <c r="DJ120"/>
      <c r="DK120"/>
      <c r="DL120"/>
      <c r="DM120"/>
      <c r="DN120"/>
      <c r="DO120"/>
      <c r="DP120"/>
      <c r="DQ120"/>
      <c r="DR120"/>
      <c r="DS120"/>
      <c r="DT120"/>
      <c r="DU120"/>
      <c r="DV120"/>
      <c r="DW120"/>
    </row>
    <row r="121" spans="1:127" s="2" customFormat="1" x14ac:dyDescent="0.3">
      <c r="A121" s="5"/>
      <c r="C121"/>
      <c r="D121"/>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c r="BA121"/>
      <c r="BB121"/>
      <c r="BC121"/>
      <c r="BD121"/>
      <c r="BE121"/>
      <c r="BF121"/>
      <c r="BG121"/>
      <c r="BH121"/>
      <c r="BI121"/>
      <c r="BJ121"/>
      <c r="BK121"/>
      <c r="BL121"/>
      <c r="BM121"/>
      <c r="BN121"/>
      <c r="BO121"/>
      <c r="BP121"/>
      <c r="BQ121"/>
      <c r="BR121"/>
      <c r="BS121"/>
      <c r="BT121"/>
      <c r="BU121"/>
      <c r="BV121"/>
      <c r="BW121"/>
      <c r="BX121"/>
      <c r="BY121"/>
      <c r="BZ121"/>
      <c r="CA121"/>
      <c r="CB121"/>
      <c r="CC121"/>
      <c r="CD121"/>
      <c r="CE121"/>
      <c r="CF121"/>
      <c r="CG121"/>
      <c r="CH121"/>
      <c r="CI121"/>
      <c r="CJ121"/>
      <c r="CK121"/>
      <c r="CL121"/>
      <c r="CM121"/>
      <c r="CN121"/>
      <c r="CO121"/>
      <c r="CP121"/>
      <c r="CQ121"/>
      <c r="CR121"/>
      <c r="CS121"/>
      <c r="CT121"/>
      <c r="CU121"/>
      <c r="CV121"/>
      <c r="CW121"/>
      <c r="CX121"/>
      <c r="CY121"/>
      <c r="CZ121"/>
      <c r="DA121"/>
      <c r="DB121"/>
      <c r="DC121"/>
      <c r="DD121"/>
      <c r="DE121"/>
      <c r="DF121"/>
      <c r="DG121"/>
      <c r="DH121"/>
      <c r="DI121"/>
      <c r="DJ121"/>
      <c r="DK121"/>
      <c r="DL121"/>
      <c r="DM121"/>
      <c r="DN121"/>
      <c r="DO121"/>
      <c r="DP121"/>
      <c r="DQ121"/>
      <c r="DR121"/>
      <c r="DS121"/>
      <c r="DT121"/>
      <c r="DU121"/>
      <c r="DV121"/>
      <c r="DW121"/>
    </row>
    <row r="122" spans="1:127" s="2" customFormat="1" x14ac:dyDescent="0.3">
      <c r="A122" s="5"/>
      <c r="C122"/>
      <c r="D122"/>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c r="AY122"/>
      <c r="AZ122"/>
      <c r="BA122"/>
      <c r="BB122"/>
      <c r="BC122"/>
      <c r="BD122"/>
      <c r="BE122"/>
      <c r="BF122"/>
      <c r="BG122"/>
      <c r="BH122"/>
      <c r="BI122"/>
      <c r="BJ122"/>
      <c r="BK122"/>
      <c r="BL122"/>
      <c r="BM122"/>
      <c r="BN122"/>
      <c r="BO122"/>
      <c r="BP122"/>
      <c r="BQ122"/>
      <c r="BR122"/>
      <c r="BS122"/>
      <c r="BT122"/>
      <c r="BU122"/>
      <c r="BV122"/>
      <c r="BW122"/>
      <c r="BX122"/>
      <c r="BY122"/>
      <c r="BZ122"/>
      <c r="CA122"/>
      <c r="CB122"/>
      <c r="CC122"/>
      <c r="CD122"/>
      <c r="CE122"/>
      <c r="CF122"/>
      <c r="CG122"/>
      <c r="CH122"/>
      <c r="CI122"/>
      <c r="CJ122"/>
      <c r="CK122"/>
      <c r="CL122"/>
      <c r="CM122"/>
      <c r="CN122"/>
      <c r="CO122"/>
      <c r="CP122"/>
      <c r="CQ122"/>
      <c r="CR122"/>
      <c r="CS122"/>
      <c r="CT122"/>
      <c r="CU122"/>
      <c r="CV122"/>
      <c r="CW122"/>
      <c r="CX122"/>
      <c r="CY122"/>
      <c r="CZ122"/>
      <c r="DA122"/>
      <c r="DB122"/>
      <c r="DC122"/>
      <c r="DD122"/>
      <c r="DE122"/>
      <c r="DF122"/>
      <c r="DG122"/>
      <c r="DH122"/>
      <c r="DI122"/>
      <c r="DJ122"/>
      <c r="DK122"/>
      <c r="DL122"/>
      <c r="DM122"/>
      <c r="DN122"/>
      <c r="DO122"/>
      <c r="DP122"/>
      <c r="DQ122"/>
      <c r="DR122"/>
      <c r="DS122"/>
      <c r="DT122"/>
      <c r="DU122"/>
      <c r="DV122"/>
      <c r="DW122"/>
    </row>
    <row r="123" spans="1:127" s="2" customFormat="1" x14ac:dyDescent="0.3">
      <c r="A123" s="5"/>
      <c r="C123"/>
      <c r="D123"/>
      <c r="E123"/>
      <c r="F123"/>
      <c r="G123"/>
      <c r="H123"/>
      <c r="I123"/>
      <c r="J123"/>
      <c r="K123"/>
      <c r="L123"/>
      <c r="M123"/>
      <c r="N123"/>
      <c r="O123"/>
      <c r="P123"/>
      <c r="Q123"/>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c r="BH123"/>
      <c r="BI123"/>
      <c r="BJ123"/>
      <c r="BK123"/>
      <c r="BL123"/>
      <c r="BM123"/>
      <c r="BN123"/>
      <c r="BO123"/>
      <c r="BP123"/>
      <c r="BQ123"/>
      <c r="BR123"/>
      <c r="BS123"/>
      <c r="BT123"/>
      <c r="BU123"/>
      <c r="BV123"/>
      <c r="BW123"/>
      <c r="BX123"/>
      <c r="BY123"/>
      <c r="BZ123"/>
      <c r="CA123"/>
      <c r="CB123"/>
      <c r="CC123"/>
      <c r="CD123"/>
      <c r="CE123"/>
      <c r="CF123"/>
      <c r="CG123"/>
      <c r="CH123"/>
      <c r="CI123"/>
      <c r="CJ123"/>
      <c r="CK123"/>
      <c r="CL123"/>
      <c r="CM123"/>
      <c r="CN123"/>
      <c r="CO123"/>
      <c r="CP123"/>
      <c r="CQ123"/>
      <c r="CR123"/>
      <c r="CS123"/>
      <c r="CT123"/>
      <c r="CU123"/>
      <c r="CV123"/>
      <c r="CW123"/>
      <c r="CX123"/>
      <c r="CY123"/>
      <c r="CZ123"/>
      <c r="DA123"/>
      <c r="DB123"/>
      <c r="DC123"/>
      <c r="DD123"/>
      <c r="DE123"/>
      <c r="DF123"/>
      <c r="DG123"/>
      <c r="DH123"/>
      <c r="DI123"/>
      <c r="DJ123"/>
      <c r="DK123"/>
      <c r="DL123"/>
      <c r="DM123"/>
      <c r="DN123"/>
      <c r="DO123"/>
      <c r="DP123"/>
      <c r="DQ123"/>
      <c r="DR123"/>
      <c r="DS123"/>
      <c r="DT123"/>
      <c r="DU123"/>
      <c r="DV123"/>
      <c r="DW123"/>
    </row>
    <row r="124" spans="1:127" s="2" customFormat="1" x14ac:dyDescent="0.3">
      <c r="A124" s="5"/>
      <c r="C124"/>
      <c r="D124"/>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c r="AY124"/>
      <c r="AZ124"/>
      <c r="BA124"/>
      <c r="BB124"/>
      <c r="BC124"/>
      <c r="BD124"/>
      <c r="BE124"/>
      <c r="BF124"/>
      <c r="BG124"/>
      <c r="BH124"/>
      <c r="BI124"/>
      <c r="BJ124"/>
      <c r="BK124"/>
      <c r="BL124"/>
      <c r="BM124"/>
      <c r="BN124"/>
      <c r="BO124"/>
      <c r="BP124"/>
      <c r="BQ124"/>
      <c r="BR124"/>
      <c r="BS124"/>
      <c r="BT124"/>
      <c r="BU124"/>
      <c r="BV124"/>
      <c r="BW124"/>
      <c r="BX124"/>
      <c r="BY124"/>
      <c r="BZ124"/>
      <c r="CA124"/>
      <c r="CB124"/>
      <c r="CC124"/>
      <c r="CD124"/>
      <c r="CE124"/>
      <c r="CF124"/>
      <c r="CG124"/>
      <c r="CH124"/>
      <c r="CI124"/>
      <c r="CJ124"/>
      <c r="CK124"/>
      <c r="CL124"/>
      <c r="CM124"/>
      <c r="CN124"/>
      <c r="CO124"/>
      <c r="CP124"/>
      <c r="CQ124"/>
      <c r="CR124"/>
      <c r="CS124"/>
      <c r="CT124"/>
      <c r="CU124"/>
      <c r="CV124"/>
      <c r="CW124"/>
      <c r="CX124"/>
      <c r="CY124"/>
      <c r="CZ124"/>
      <c r="DA124"/>
      <c r="DB124"/>
      <c r="DC124"/>
      <c r="DD124"/>
      <c r="DE124"/>
      <c r="DF124"/>
      <c r="DG124"/>
      <c r="DH124"/>
      <c r="DI124"/>
      <c r="DJ124"/>
      <c r="DK124"/>
      <c r="DL124"/>
      <c r="DM124"/>
      <c r="DN124"/>
      <c r="DO124"/>
      <c r="DP124"/>
      <c r="DQ124"/>
      <c r="DR124"/>
      <c r="DS124"/>
      <c r="DT124"/>
      <c r="DU124"/>
      <c r="DV124"/>
      <c r="DW124"/>
    </row>
    <row r="125" spans="1:127" s="2" customFormat="1" x14ac:dyDescent="0.3">
      <c r="A125" s="5"/>
      <c r="C125"/>
      <c r="D125"/>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X125"/>
      <c r="AY125"/>
      <c r="AZ125"/>
      <c r="BA125"/>
      <c r="BB125"/>
      <c r="BC125"/>
      <c r="BD125"/>
      <c r="BE125"/>
      <c r="BF125"/>
      <c r="BG125"/>
      <c r="BH125"/>
      <c r="BI125"/>
      <c r="BJ125"/>
      <c r="BK125"/>
      <c r="BL125"/>
      <c r="BM125"/>
      <c r="BN125"/>
      <c r="BO125"/>
      <c r="BP125"/>
      <c r="BQ125"/>
      <c r="BR125"/>
      <c r="BS125"/>
      <c r="BT125"/>
      <c r="BU125"/>
      <c r="BV125"/>
      <c r="BW125"/>
      <c r="BX125"/>
      <c r="BY125"/>
      <c r="BZ125"/>
      <c r="CA125"/>
      <c r="CB125"/>
      <c r="CC125"/>
      <c r="CD125"/>
      <c r="CE125"/>
      <c r="CF125"/>
      <c r="CG125"/>
      <c r="CH125"/>
      <c r="CI125"/>
      <c r="CJ125"/>
      <c r="CK125"/>
      <c r="CL125"/>
      <c r="CM125"/>
      <c r="CN125"/>
      <c r="CO125"/>
      <c r="CP125"/>
      <c r="CQ125"/>
      <c r="CR125"/>
      <c r="CS125"/>
      <c r="CT125"/>
      <c r="CU125"/>
      <c r="CV125"/>
      <c r="CW125"/>
      <c r="CX125"/>
      <c r="CY125"/>
      <c r="CZ125"/>
      <c r="DA125"/>
      <c r="DB125"/>
      <c r="DC125"/>
      <c r="DD125"/>
      <c r="DE125"/>
      <c r="DF125"/>
      <c r="DG125"/>
      <c r="DH125"/>
      <c r="DI125"/>
      <c r="DJ125"/>
      <c r="DK125"/>
      <c r="DL125"/>
      <c r="DM125"/>
      <c r="DN125"/>
      <c r="DO125"/>
      <c r="DP125"/>
      <c r="DQ125"/>
      <c r="DR125"/>
      <c r="DS125"/>
      <c r="DT125"/>
      <c r="DU125"/>
      <c r="DV125"/>
      <c r="DW125"/>
    </row>
    <row r="126" spans="1:127" s="2" customFormat="1" x14ac:dyDescent="0.3">
      <c r="A126" s="5"/>
      <c r="C126"/>
      <c r="D126"/>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c r="BA126"/>
      <c r="BB126"/>
      <c r="BC126"/>
      <c r="BD126"/>
      <c r="BE126"/>
      <c r="BF126"/>
      <c r="BG126"/>
      <c r="BH126"/>
      <c r="BI126"/>
      <c r="BJ126"/>
      <c r="BK126"/>
      <c r="BL126"/>
      <c r="BM126"/>
      <c r="BN126"/>
      <c r="BO126"/>
      <c r="BP126"/>
      <c r="BQ126"/>
      <c r="BR126"/>
      <c r="BS126"/>
      <c r="BT126"/>
      <c r="BU126"/>
      <c r="BV126"/>
      <c r="BW126"/>
      <c r="BX126"/>
      <c r="BY126"/>
      <c r="BZ126"/>
      <c r="CA126"/>
      <c r="CB126"/>
      <c r="CC126"/>
      <c r="CD126"/>
      <c r="CE126"/>
      <c r="CF126"/>
      <c r="CG126"/>
      <c r="CH126"/>
      <c r="CI126"/>
      <c r="CJ126"/>
      <c r="CK126"/>
      <c r="CL126"/>
      <c r="CM126"/>
      <c r="CN126"/>
      <c r="CO126"/>
      <c r="CP126"/>
      <c r="CQ126"/>
      <c r="CR126"/>
      <c r="CS126"/>
      <c r="CT126"/>
      <c r="CU126"/>
      <c r="CV126"/>
      <c r="CW126"/>
      <c r="CX126"/>
      <c r="CY126"/>
      <c r="CZ126"/>
      <c r="DA126"/>
      <c r="DB126"/>
      <c r="DC126"/>
      <c r="DD126"/>
      <c r="DE126"/>
      <c r="DF126"/>
      <c r="DG126"/>
      <c r="DH126"/>
      <c r="DI126"/>
      <c r="DJ126"/>
      <c r="DK126"/>
      <c r="DL126"/>
      <c r="DM126"/>
      <c r="DN126"/>
      <c r="DO126"/>
      <c r="DP126"/>
      <c r="DQ126"/>
      <c r="DR126"/>
      <c r="DS126"/>
      <c r="DT126"/>
      <c r="DU126"/>
      <c r="DV126"/>
      <c r="DW126"/>
    </row>
  </sheetData>
  <mergeCells count="13">
    <mergeCell ref="C1:D1"/>
    <mergeCell ref="O2:S2"/>
    <mergeCell ref="T2:Y2"/>
    <mergeCell ref="A1:B2"/>
    <mergeCell ref="E1:S1"/>
    <mergeCell ref="T1:AI1"/>
    <mergeCell ref="C2:D2"/>
    <mergeCell ref="AA2:AG2"/>
    <mergeCell ref="AH2:AI2"/>
    <mergeCell ref="E2:F2"/>
    <mergeCell ref="G2:I2"/>
    <mergeCell ref="J2:L2"/>
    <mergeCell ref="M2:N2"/>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B4D032-E84D-45DE-9C25-6BA7B6746F24}">
  <dimension ref="A1:BY122"/>
  <sheetViews>
    <sheetView topLeftCell="AM1" zoomScale="70" zoomScaleNormal="70" workbookViewId="0">
      <selection activeCell="AV7" sqref="A1:BY44"/>
    </sheetView>
  </sheetViews>
  <sheetFormatPr defaultRowHeight="14.4" x14ac:dyDescent="0.3"/>
  <cols>
    <col min="2" max="2" width="8.88671875" style="2"/>
    <col min="3" max="3" width="9.88671875" style="2" customWidth="1"/>
    <col min="6" max="6" width="9.88671875" customWidth="1"/>
    <col min="10" max="10" width="12.6640625" customWidth="1"/>
    <col min="18" max="18" width="13.88671875" customWidth="1"/>
    <col min="48" max="48" width="9.77734375" customWidth="1"/>
    <col min="49" max="49" width="10.77734375" customWidth="1"/>
    <col min="53" max="53" width="11.77734375" customWidth="1"/>
    <col min="55" max="55" width="11.6640625" customWidth="1"/>
    <col min="71" max="71" width="11.77734375" customWidth="1"/>
    <col min="72" max="72" width="13.44140625" customWidth="1"/>
    <col min="76" max="76" width="12.109375" customWidth="1"/>
    <col min="77" max="77" width="11.109375" customWidth="1"/>
  </cols>
  <sheetData>
    <row r="1" spans="1:77" x14ac:dyDescent="0.3">
      <c r="A1" s="13" t="s">
        <v>75</v>
      </c>
      <c r="B1" s="13"/>
      <c r="C1" s="14"/>
      <c r="D1" s="15" t="s">
        <v>231</v>
      </c>
      <c r="E1" s="16"/>
      <c r="F1" s="16"/>
      <c r="G1" s="16"/>
      <c r="H1" s="16"/>
      <c r="I1" s="16"/>
      <c r="J1" s="16"/>
      <c r="K1" s="16"/>
      <c r="L1" s="16"/>
      <c r="M1" s="16"/>
      <c r="N1" s="16"/>
      <c r="O1" s="16"/>
      <c r="P1" s="16"/>
      <c r="Q1" s="16"/>
      <c r="R1" s="16"/>
      <c r="S1" s="16"/>
      <c r="T1" s="16"/>
      <c r="U1" s="16"/>
      <c r="V1" s="16"/>
      <c r="W1" s="16"/>
      <c r="X1" s="16"/>
      <c r="Y1" s="16"/>
      <c r="Z1" s="16"/>
      <c r="AA1" s="16"/>
      <c r="AB1" s="16"/>
      <c r="AC1" s="16"/>
      <c r="AD1" s="16"/>
      <c r="AE1" s="16"/>
      <c r="AF1" s="16"/>
      <c r="AG1" s="16"/>
      <c r="AH1" s="16"/>
      <c r="AI1" s="16"/>
      <c r="AJ1" s="16"/>
      <c r="AK1" s="16"/>
      <c r="AL1" s="16"/>
      <c r="AM1" s="16"/>
      <c r="AN1" s="16"/>
      <c r="AO1" s="16"/>
      <c r="AP1" s="16"/>
      <c r="AQ1" s="16"/>
      <c r="AR1" s="16"/>
      <c r="AS1" s="16"/>
      <c r="AT1" s="16"/>
      <c r="AU1" s="16"/>
      <c r="AV1" s="16"/>
      <c r="AW1" s="16"/>
      <c r="AX1" s="16"/>
      <c r="AY1" s="16"/>
      <c r="AZ1" s="16"/>
      <c r="BA1" s="16"/>
      <c r="BB1" s="16"/>
      <c r="BC1" s="16"/>
      <c r="BD1" s="16"/>
      <c r="BE1" s="16"/>
      <c r="BF1" s="16"/>
      <c r="BG1" s="16"/>
      <c r="BH1" s="16"/>
      <c r="BI1" s="16"/>
      <c r="BJ1" s="16"/>
      <c r="BK1" s="16"/>
      <c r="BL1" s="16"/>
      <c r="BM1" s="16"/>
      <c r="BN1" s="16"/>
      <c r="BO1" s="16"/>
      <c r="BP1" s="16"/>
      <c r="BQ1" s="16"/>
      <c r="BR1" s="16"/>
      <c r="BS1" s="16"/>
      <c r="BT1" s="16"/>
      <c r="BU1" s="16"/>
      <c r="BV1" s="16"/>
      <c r="BW1" s="16"/>
      <c r="BX1" s="16"/>
      <c r="BY1" s="17"/>
    </row>
    <row r="2" spans="1:77" ht="29.4" customHeight="1" x14ac:dyDescent="0.3">
      <c r="A2" s="13"/>
      <c r="B2" s="13"/>
      <c r="C2" s="14"/>
      <c r="D2" s="18" t="s">
        <v>5</v>
      </c>
      <c r="E2" s="19"/>
      <c r="F2" s="18" t="s">
        <v>247</v>
      </c>
      <c r="G2" s="19"/>
      <c r="H2" s="18" t="s">
        <v>194</v>
      </c>
      <c r="I2" s="19"/>
      <c r="J2" s="18" t="s">
        <v>9</v>
      </c>
      <c r="K2" s="19"/>
      <c r="L2" s="20" t="s">
        <v>107</v>
      </c>
      <c r="M2" s="21"/>
      <c r="N2" s="21"/>
      <c r="O2" s="21"/>
      <c r="P2" s="21"/>
      <c r="Q2" s="21"/>
      <c r="R2" s="21"/>
      <c r="S2" s="21"/>
      <c r="T2" s="21"/>
      <c r="U2" s="22"/>
      <c r="V2" s="20" t="s">
        <v>116</v>
      </c>
      <c r="W2" s="21"/>
      <c r="X2" s="21"/>
      <c r="Y2" s="21"/>
      <c r="Z2" s="21"/>
      <c r="AA2" s="21"/>
      <c r="AB2" s="23" t="s">
        <v>117</v>
      </c>
      <c r="AC2" s="24"/>
      <c r="AD2" s="20" t="s">
        <v>118</v>
      </c>
      <c r="AE2" s="21"/>
      <c r="AF2" s="21"/>
      <c r="AG2" s="21"/>
      <c r="AH2" s="21"/>
      <c r="AI2" s="22"/>
      <c r="AJ2" s="20" t="s">
        <v>119</v>
      </c>
      <c r="AK2" s="21"/>
      <c r="AL2" s="20" t="s">
        <v>120</v>
      </c>
      <c r="AM2" s="21"/>
      <c r="AN2" s="21"/>
      <c r="AO2" s="21"/>
      <c r="AP2" s="21"/>
      <c r="AQ2" s="21"/>
      <c r="AR2" s="22"/>
      <c r="AS2" s="20" t="s">
        <v>103</v>
      </c>
      <c r="AT2" s="22"/>
      <c r="AU2" s="20" t="s">
        <v>235</v>
      </c>
      <c r="AV2" s="21"/>
      <c r="AW2" s="22"/>
      <c r="AX2" s="20" t="s">
        <v>122</v>
      </c>
      <c r="AY2" s="21"/>
      <c r="AZ2" s="20" t="s">
        <v>121</v>
      </c>
      <c r="BA2" s="21"/>
      <c r="BB2" s="21"/>
      <c r="BC2" s="21"/>
      <c r="BD2" s="22"/>
      <c r="BE2" s="20" t="s">
        <v>125</v>
      </c>
      <c r="BF2" s="21"/>
      <c r="BG2" s="20" t="s">
        <v>127</v>
      </c>
      <c r="BH2" s="21"/>
      <c r="BI2" s="21"/>
      <c r="BJ2" s="22"/>
      <c r="BK2" s="20" t="s">
        <v>128</v>
      </c>
      <c r="BL2" s="21"/>
      <c r="BM2" s="21"/>
      <c r="BN2" s="21"/>
      <c r="BO2" s="22"/>
      <c r="BP2" s="21" t="s">
        <v>298</v>
      </c>
      <c r="BQ2" s="21"/>
      <c r="BR2" s="21"/>
      <c r="BS2" s="21"/>
      <c r="BT2" s="21"/>
      <c r="BU2" s="21"/>
      <c r="BV2" s="21"/>
      <c r="BW2" s="21"/>
      <c r="BX2" s="21"/>
      <c r="BY2" s="22"/>
    </row>
    <row r="3" spans="1:77" ht="43.2" x14ac:dyDescent="0.3">
      <c r="A3" s="8" t="s">
        <v>104</v>
      </c>
      <c r="B3" s="8" t="s">
        <v>105</v>
      </c>
      <c r="C3" s="7" t="s">
        <v>230</v>
      </c>
      <c r="D3" s="1" t="s">
        <v>5</v>
      </c>
      <c r="E3" s="9" t="s">
        <v>8</v>
      </c>
      <c r="F3" s="9" t="s">
        <v>106</v>
      </c>
      <c r="G3" s="9" t="s">
        <v>8</v>
      </c>
      <c r="H3" s="9" t="s">
        <v>19</v>
      </c>
      <c r="I3" s="9" t="s">
        <v>8</v>
      </c>
      <c r="J3" s="9" t="s">
        <v>9</v>
      </c>
      <c r="K3" s="9" t="s">
        <v>8</v>
      </c>
      <c r="L3" s="25" t="s">
        <v>6</v>
      </c>
      <c r="M3" s="25" t="s">
        <v>232</v>
      </c>
      <c r="N3" s="25" t="s">
        <v>108</v>
      </c>
      <c r="O3" s="25" t="s">
        <v>109</v>
      </c>
      <c r="P3" s="25" t="s">
        <v>111</v>
      </c>
      <c r="Q3" s="25" t="s">
        <v>110</v>
      </c>
      <c r="R3" s="25" t="s">
        <v>233</v>
      </c>
      <c r="S3" s="25" t="s">
        <v>11</v>
      </c>
      <c r="T3" s="25" t="s">
        <v>7</v>
      </c>
      <c r="U3" s="25" t="s">
        <v>8</v>
      </c>
      <c r="V3" s="25" t="s">
        <v>112</v>
      </c>
      <c r="W3" s="25" t="s">
        <v>113</v>
      </c>
      <c r="X3" s="25" t="s">
        <v>114</v>
      </c>
      <c r="Y3" s="25" t="s">
        <v>115</v>
      </c>
      <c r="Z3" s="25" t="s">
        <v>11</v>
      </c>
      <c r="AA3" s="25" t="s">
        <v>7</v>
      </c>
      <c r="AB3" s="26" t="s">
        <v>227</v>
      </c>
      <c r="AC3" s="25" t="s">
        <v>228</v>
      </c>
      <c r="AD3" s="25" t="s">
        <v>227</v>
      </c>
      <c r="AE3" s="25" t="s">
        <v>225</v>
      </c>
      <c r="AF3" s="25" t="s">
        <v>257</v>
      </c>
      <c r="AG3" s="25" t="s">
        <v>226</v>
      </c>
      <c r="AH3" s="25" t="s">
        <v>258</v>
      </c>
      <c r="AI3" s="25" t="s">
        <v>8</v>
      </c>
      <c r="AJ3" s="26" t="s">
        <v>227</v>
      </c>
      <c r="AK3" s="25" t="s">
        <v>5</v>
      </c>
      <c r="AL3" s="25" t="s">
        <v>112</v>
      </c>
      <c r="AM3" s="25" t="s">
        <v>113</v>
      </c>
      <c r="AN3" s="25" t="s">
        <v>114</v>
      </c>
      <c r="AO3" s="25" t="s">
        <v>115</v>
      </c>
      <c r="AP3" s="25" t="s">
        <v>11</v>
      </c>
      <c r="AQ3" s="25" t="s">
        <v>7</v>
      </c>
      <c r="AR3" s="25" t="s">
        <v>8</v>
      </c>
      <c r="AS3" s="25" t="s">
        <v>227</v>
      </c>
      <c r="AT3" s="25" t="s">
        <v>8</v>
      </c>
      <c r="AU3" s="25" t="s">
        <v>227</v>
      </c>
      <c r="AV3" s="25" t="s">
        <v>1</v>
      </c>
      <c r="AW3" s="25" t="s">
        <v>8</v>
      </c>
      <c r="AX3" s="25" t="s">
        <v>227</v>
      </c>
      <c r="AY3" s="25" t="s">
        <v>1</v>
      </c>
      <c r="AZ3" s="3" t="s">
        <v>123</v>
      </c>
      <c r="BA3" s="3" t="s">
        <v>124</v>
      </c>
      <c r="BB3" s="3" t="s">
        <v>259</v>
      </c>
      <c r="BC3" s="3" t="s">
        <v>260</v>
      </c>
      <c r="BD3" s="3" t="s">
        <v>8</v>
      </c>
      <c r="BE3" s="25" t="s">
        <v>227</v>
      </c>
      <c r="BF3" s="3" t="s">
        <v>1</v>
      </c>
      <c r="BG3" s="3" t="s">
        <v>127</v>
      </c>
      <c r="BH3" s="3" t="s">
        <v>15</v>
      </c>
      <c r="BI3" s="3" t="s">
        <v>126</v>
      </c>
      <c r="BJ3" s="3" t="s">
        <v>8</v>
      </c>
      <c r="BK3" s="3" t="s">
        <v>215</v>
      </c>
      <c r="BL3" s="3" t="s">
        <v>24</v>
      </c>
      <c r="BM3" s="3" t="s">
        <v>131</v>
      </c>
      <c r="BN3" s="3" t="s">
        <v>97</v>
      </c>
      <c r="BO3" s="3" t="s">
        <v>8</v>
      </c>
      <c r="BP3" s="3" t="s">
        <v>229</v>
      </c>
      <c r="BQ3" s="3" t="s">
        <v>98</v>
      </c>
      <c r="BR3" s="3" t="s">
        <v>130</v>
      </c>
      <c r="BS3" s="3" t="s">
        <v>129</v>
      </c>
      <c r="BT3" s="3" t="s">
        <v>99</v>
      </c>
      <c r="BU3" s="3" t="s">
        <v>100</v>
      </c>
      <c r="BV3" s="3" t="s">
        <v>11</v>
      </c>
      <c r="BW3" s="3" t="s">
        <v>7</v>
      </c>
      <c r="BX3" s="3" t="s">
        <v>234</v>
      </c>
      <c r="BY3" s="3" t="s">
        <v>101</v>
      </c>
    </row>
    <row r="4" spans="1:77" x14ac:dyDescent="0.3">
      <c r="A4" s="27" t="s">
        <v>25</v>
      </c>
      <c r="B4" s="28" t="s">
        <v>132</v>
      </c>
      <c r="C4" s="29">
        <v>1</v>
      </c>
      <c r="D4" s="30">
        <v>19</v>
      </c>
      <c r="E4" s="31" t="s">
        <v>76</v>
      </c>
      <c r="F4" s="30">
        <v>0.7</v>
      </c>
      <c r="G4" s="31" t="str">
        <f>IF(E4="","-",E4)</f>
        <v>-</v>
      </c>
      <c r="H4" s="32" t="s">
        <v>70</v>
      </c>
      <c r="I4" s="33" t="s">
        <v>271</v>
      </c>
      <c r="J4" s="34" t="s">
        <v>248</v>
      </c>
      <c r="K4" s="33" t="s">
        <v>76</v>
      </c>
      <c r="L4" s="35">
        <v>1</v>
      </c>
      <c r="M4" s="36">
        <v>0</v>
      </c>
      <c r="N4" s="36">
        <v>0</v>
      </c>
      <c r="O4" s="36">
        <v>0</v>
      </c>
      <c r="P4" s="36">
        <v>0</v>
      </c>
      <c r="Q4" s="36">
        <v>0</v>
      </c>
      <c r="R4" s="36">
        <v>0</v>
      </c>
      <c r="S4" s="36">
        <v>0</v>
      </c>
      <c r="T4" s="36" t="s">
        <v>76</v>
      </c>
      <c r="U4" s="31" t="s">
        <v>76</v>
      </c>
      <c r="V4" s="35">
        <v>0</v>
      </c>
      <c r="W4" s="36">
        <v>1</v>
      </c>
      <c r="X4" s="36">
        <v>0</v>
      </c>
      <c r="Y4" s="36">
        <v>0</v>
      </c>
      <c r="Z4" s="36">
        <v>0</v>
      </c>
      <c r="AA4" s="36" t="s">
        <v>76</v>
      </c>
      <c r="AB4" s="35" t="s">
        <v>70</v>
      </c>
      <c r="AC4" s="37">
        <v>20</v>
      </c>
      <c r="AD4" s="32" t="s">
        <v>70</v>
      </c>
      <c r="AE4" s="36">
        <v>1</v>
      </c>
      <c r="AF4" s="38" t="s">
        <v>76</v>
      </c>
      <c r="AG4" s="38" t="s">
        <v>76</v>
      </c>
      <c r="AH4" s="38" t="s">
        <v>76</v>
      </c>
      <c r="AI4" s="33" t="s">
        <v>76</v>
      </c>
      <c r="AJ4" s="32" t="s">
        <v>70</v>
      </c>
      <c r="AK4" s="38">
        <v>19</v>
      </c>
      <c r="AL4" s="32">
        <v>0</v>
      </c>
      <c r="AM4" s="38">
        <v>1</v>
      </c>
      <c r="AN4" s="38">
        <v>0</v>
      </c>
      <c r="AO4" s="38">
        <v>0</v>
      </c>
      <c r="AP4" s="38">
        <v>0</v>
      </c>
      <c r="AQ4" s="38" t="s">
        <v>76</v>
      </c>
      <c r="AR4" s="33" t="s">
        <v>76</v>
      </c>
      <c r="AS4" s="32" t="s">
        <v>70</v>
      </c>
      <c r="AT4" s="33" t="s">
        <v>276</v>
      </c>
      <c r="AU4" s="32" t="s">
        <v>70</v>
      </c>
      <c r="AV4" s="38" t="s">
        <v>209</v>
      </c>
      <c r="AW4" s="33" t="s">
        <v>76</v>
      </c>
      <c r="AX4" s="32" t="s">
        <v>76</v>
      </c>
      <c r="AY4" s="38" t="s">
        <v>76</v>
      </c>
      <c r="AZ4" s="32" t="s">
        <v>76</v>
      </c>
      <c r="BA4" s="38" t="s">
        <v>76</v>
      </c>
      <c r="BB4" s="38" t="s">
        <v>76</v>
      </c>
      <c r="BC4" s="38" t="s">
        <v>76</v>
      </c>
      <c r="BD4" s="33" t="s">
        <v>76</v>
      </c>
      <c r="BE4" s="32" t="s">
        <v>76</v>
      </c>
      <c r="BF4" s="38" t="s">
        <v>76</v>
      </c>
      <c r="BG4" s="32" t="s">
        <v>70</v>
      </c>
      <c r="BH4" s="36">
        <v>20</v>
      </c>
      <c r="BI4" s="38" t="s">
        <v>76</v>
      </c>
      <c r="BJ4" s="33" t="s">
        <v>76</v>
      </c>
      <c r="BK4" s="32" t="s">
        <v>70</v>
      </c>
      <c r="BL4" s="38" t="s">
        <v>224</v>
      </c>
      <c r="BM4" s="38" t="s">
        <v>76</v>
      </c>
      <c r="BN4" s="38" t="s">
        <v>76</v>
      </c>
      <c r="BO4" s="33" t="s">
        <v>299</v>
      </c>
      <c r="BP4" s="36">
        <v>0</v>
      </c>
      <c r="BQ4" s="36">
        <v>1</v>
      </c>
      <c r="BR4" s="36">
        <v>0</v>
      </c>
      <c r="BS4" s="36">
        <v>0</v>
      </c>
      <c r="BT4" s="36">
        <v>0</v>
      </c>
      <c r="BU4" s="36">
        <v>0</v>
      </c>
      <c r="BV4" s="36">
        <v>0</v>
      </c>
      <c r="BW4" s="38" t="s">
        <v>76</v>
      </c>
      <c r="BX4" s="38" t="s">
        <v>76</v>
      </c>
      <c r="BY4" s="33" t="s">
        <v>76</v>
      </c>
    </row>
    <row r="5" spans="1:77" x14ac:dyDescent="0.3">
      <c r="A5" s="4" t="s">
        <v>26</v>
      </c>
      <c r="B5" s="5" t="s">
        <v>133</v>
      </c>
      <c r="C5" s="39">
        <v>1</v>
      </c>
      <c r="D5" s="40">
        <v>21</v>
      </c>
      <c r="E5" s="12" t="s">
        <v>76</v>
      </c>
      <c r="F5" s="40">
        <v>0.86</v>
      </c>
      <c r="G5" s="12" t="str">
        <f t="shared" ref="G5:G19" si="0">IF(E5="","-",E5)</f>
        <v>-</v>
      </c>
      <c r="H5" s="34" t="s">
        <v>2</v>
      </c>
      <c r="I5" s="11" t="s">
        <v>76</v>
      </c>
      <c r="J5" s="34" t="s">
        <v>248</v>
      </c>
      <c r="K5" s="11" t="s">
        <v>76</v>
      </c>
      <c r="L5" s="10">
        <v>1</v>
      </c>
      <c r="M5" s="41">
        <v>0</v>
      </c>
      <c r="N5" s="41">
        <v>0</v>
      </c>
      <c r="O5" s="41">
        <v>0</v>
      </c>
      <c r="P5" s="41">
        <v>0</v>
      </c>
      <c r="Q5" s="41">
        <v>0</v>
      </c>
      <c r="R5" s="41">
        <v>0</v>
      </c>
      <c r="S5" s="41">
        <v>0</v>
      </c>
      <c r="T5" s="41" t="s">
        <v>76</v>
      </c>
      <c r="U5" s="12" t="s">
        <v>76</v>
      </c>
      <c r="V5" s="10">
        <v>0</v>
      </c>
      <c r="W5" s="41">
        <v>1</v>
      </c>
      <c r="X5" s="41">
        <v>0</v>
      </c>
      <c r="Y5" s="41">
        <v>0</v>
      </c>
      <c r="Z5" s="41">
        <v>0</v>
      </c>
      <c r="AA5" s="41" t="s">
        <v>76</v>
      </c>
      <c r="AB5" s="10" t="s">
        <v>70</v>
      </c>
      <c r="AC5" s="42" t="s">
        <v>76</v>
      </c>
      <c r="AD5" s="34" t="s">
        <v>70</v>
      </c>
      <c r="AE5" s="41">
        <v>1</v>
      </c>
      <c r="AF5" s="43" t="s">
        <v>76</v>
      </c>
      <c r="AG5" s="43" t="s">
        <v>76</v>
      </c>
      <c r="AH5" s="43" t="s">
        <v>76</v>
      </c>
      <c r="AI5" s="11" t="s">
        <v>76</v>
      </c>
      <c r="AJ5" s="34" t="s">
        <v>2</v>
      </c>
      <c r="AK5" s="43" t="s">
        <v>76</v>
      </c>
      <c r="AL5" s="34" t="s">
        <v>76</v>
      </c>
      <c r="AM5" s="43" t="s">
        <v>76</v>
      </c>
      <c r="AN5" s="43" t="s">
        <v>76</v>
      </c>
      <c r="AO5" s="43" t="s">
        <v>76</v>
      </c>
      <c r="AP5" s="43" t="s">
        <v>76</v>
      </c>
      <c r="AQ5" s="43" t="s">
        <v>76</v>
      </c>
      <c r="AR5" s="11" t="s">
        <v>76</v>
      </c>
      <c r="AS5" s="34" t="s">
        <v>2</v>
      </c>
      <c r="AT5" s="11" t="s">
        <v>76</v>
      </c>
      <c r="AU5" s="34" t="s">
        <v>70</v>
      </c>
      <c r="AV5" s="43" t="s">
        <v>208</v>
      </c>
      <c r="AW5" s="11" t="s">
        <v>282</v>
      </c>
      <c r="AX5" s="34" t="s">
        <v>76</v>
      </c>
      <c r="AY5" s="43" t="s">
        <v>76</v>
      </c>
      <c r="AZ5" s="34" t="s">
        <v>76</v>
      </c>
      <c r="BA5" s="43" t="s">
        <v>76</v>
      </c>
      <c r="BB5" s="43" t="s">
        <v>76</v>
      </c>
      <c r="BC5" s="43" t="s">
        <v>76</v>
      </c>
      <c r="BD5" s="11" t="s">
        <v>76</v>
      </c>
      <c r="BE5" s="34" t="s">
        <v>76</v>
      </c>
      <c r="BF5" s="43" t="s">
        <v>76</v>
      </c>
      <c r="BG5" s="34" t="s">
        <v>70</v>
      </c>
      <c r="BH5" s="41">
        <v>1</v>
      </c>
      <c r="BI5" s="43" t="s">
        <v>76</v>
      </c>
      <c r="BJ5" s="11" t="s">
        <v>76</v>
      </c>
      <c r="BK5" s="34" t="s">
        <v>2</v>
      </c>
      <c r="BL5" s="43" t="s">
        <v>224</v>
      </c>
      <c r="BM5" s="43" t="s">
        <v>76</v>
      </c>
      <c r="BN5" s="43" t="s">
        <v>76</v>
      </c>
      <c r="BO5" s="11" t="s">
        <v>76</v>
      </c>
      <c r="BP5" s="41">
        <v>0</v>
      </c>
      <c r="BQ5" s="41">
        <v>1</v>
      </c>
      <c r="BR5" s="41">
        <v>0</v>
      </c>
      <c r="BS5" s="41">
        <v>0</v>
      </c>
      <c r="BT5" s="41">
        <v>1</v>
      </c>
      <c r="BU5" s="41">
        <v>0</v>
      </c>
      <c r="BV5" s="41">
        <v>1</v>
      </c>
      <c r="BW5" s="43" t="s">
        <v>76</v>
      </c>
      <c r="BX5" s="43" t="s">
        <v>76</v>
      </c>
      <c r="BY5" s="11" t="s">
        <v>76</v>
      </c>
    </row>
    <row r="6" spans="1:77" x14ac:dyDescent="0.3">
      <c r="A6" s="4" t="s">
        <v>27</v>
      </c>
      <c r="B6" s="5" t="s">
        <v>134</v>
      </c>
      <c r="C6" s="39">
        <v>1</v>
      </c>
      <c r="D6" s="40">
        <v>23</v>
      </c>
      <c r="E6" s="12" t="s">
        <v>76</v>
      </c>
      <c r="F6" s="40" t="s">
        <v>76</v>
      </c>
      <c r="G6" s="12" t="str">
        <f t="shared" si="0"/>
        <v>-</v>
      </c>
      <c r="H6" s="34" t="s">
        <v>2</v>
      </c>
      <c r="I6" s="11" t="s">
        <v>76</v>
      </c>
      <c r="J6" s="34" t="s">
        <v>248</v>
      </c>
      <c r="K6" s="11" t="s">
        <v>76</v>
      </c>
      <c r="L6" s="10">
        <v>1</v>
      </c>
      <c r="M6" s="41">
        <v>0</v>
      </c>
      <c r="N6" s="41">
        <v>0</v>
      </c>
      <c r="O6" s="41">
        <v>0</v>
      </c>
      <c r="P6" s="41">
        <v>0</v>
      </c>
      <c r="Q6" s="41">
        <v>0</v>
      </c>
      <c r="R6" s="41">
        <v>0</v>
      </c>
      <c r="S6" s="41">
        <v>0</v>
      </c>
      <c r="T6" s="41" t="s">
        <v>76</v>
      </c>
      <c r="U6" s="12" t="s">
        <v>76</v>
      </c>
      <c r="V6" s="10">
        <v>0</v>
      </c>
      <c r="W6" s="41">
        <v>1</v>
      </c>
      <c r="X6" s="41">
        <v>0</v>
      </c>
      <c r="Y6" s="41">
        <v>0</v>
      </c>
      <c r="Z6" s="41">
        <v>0</v>
      </c>
      <c r="AA6" s="41" t="s">
        <v>76</v>
      </c>
      <c r="AB6" s="10" t="s">
        <v>70</v>
      </c>
      <c r="AC6" s="42">
        <v>20</v>
      </c>
      <c r="AD6" s="34" t="s">
        <v>70</v>
      </c>
      <c r="AE6" s="41">
        <v>1</v>
      </c>
      <c r="AF6" s="43" t="s">
        <v>76</v>
      </c>
      <c r="AG6" s="43" t="s">
        <v>76</v>
      </c>
      <c r="AH6" s="43" t="s">
        <v>76</v>
      </c>
      <c r="AI6" s="11" t="s">
        <v>76</v>
      </c>
      <c r="AJ6" s="34" t="s">
        <v>2</v>
      </c>
      <c r="AK6" s="43" t="s">
        <v>76</v>
      </c>
      <c r="AL6" s="34" t="s">
        <v>76</v>
      </c>
      <c r="AM6" s="43" t="s">
        <v>76</v>
      </c>
      <c r="AN6" s="43" t="s">
        <v>76</v>
      </c>
      <c r="AO6" s="43" t="s">
        <v>76</v>
      </c>
      <c r="AP6" s="43" t="s">
        <v>76</v>
      </c>
      <c r="AQ6" s="43" t="s">
        <v>76</v>
      </c>
      <c r="AR6" s="11" t="s">
        <v>76</v>
      </c>
      <c r="AS6" s="34" t="s">
        <v>2</v>
      </c>
      <c r="AT6" s="11" t="s">
        <v>76</v>
      </c>
      <c r="AU6" s="34" t="s">
        <v>70</v>
      </c>
      <c r="AV6" s="43" t="s">
        <v>76</v>
      </c>
      <c r="AW6" s="11" t="s">
        <v>76</v>
      </c>
      <c r="AX6" s="34" t="s">
        <v>76</v>
      </c>
      <c r="AY6" s="43" t="s">
        <v>76</v>
      </c>
      <c r="AZ6" s="34" t="s">
        <v>76</v>
      </c>
      <c r="BA6" s="43" t="s">
        <v>76</v>
      </c>
      <c r="BB6" s="43" t="s">
        <v>76</v>
      </c>
      <c r="BC6" s="43" t="s">
        <v>76</v>
      </c>
      <c r="BD6" s="11" t="s">
        <v>76</v>
      </c>
      <c r="BE6" s="34" t="s">
        <v>76</v>
      </c>
      <c r="BF6" s="43" t="s">
        <v>76</v>
      </c>
      <c r="BG6" s="34" t="s">
        <v>2</v>
      </c>
      <c r="BH6" s="41" t="s">
        <v>76</v>
      </c>
      <c r="BI6" s="43" t="s">
        <v>76</v>
      </c>
      <c r="BJ6" s="11" t="s">
        <v>76</v>
      </c>
      <c r="BK6" s="34" t="s">
        <v>2</v>
      </c>
      <c r="BL6" s="43" t="s">
        <v>76</v>
      </c>
      <c r="BM6" s="43" t="s">
        <v>76</v>
      </c>
      <c r="BN6" s="43" t="s">
        <v>76</v>
      </c>
      <c r="BO6" s="11" t="s">
        <v>76</v>
      </c>
      <c r="BP6" s="41">
        <v>0</v>
      </c>
      <c r="BQ6" s="41">
        <v>0</v>
      </c>
      <c r="BR6" s="41">
        <v>0</v>
      </c>
      <c r="BS6" s="41">
        <v>0</v>
      </c>
      <c r="BT6" s="41">
        <v>0</v>
      </c>
      <c r="BU6" s="41">
        <v>0</v>
      </c>
      <c r="BV6" s="41">
        <v>1</v>
      </c>
      <c r="BW6" s="43" t="s">
        <v>76</v>
      </c>
      <c r="BX6" s="43" t="s">
        <v>76</v>
      </c>
      <c r="BY6" s="11" t="s">
        <v>76</v>
      </c>
    </row>
    <row r="7" spans="1:77" x14ac:dyDescent="0.3">
      <c r="A7" s="4" t="s">
        <v>28</v>
      </c>
      <c r="B7" s="5" t="s">
        <v>135</v>
      </c>
      <c r="C7" s="39">
        <v>1</v>
      </c>
      <c r="D7" s="40">
        <v>12</v>
      </c>
      <c r="E7" s="12" t="s">
        <v>76</v>
      </c>
      <c r="F7" s="40" t="s">
        <v>76</v>
      </c>
      <c r="G7" s="12" t="str">
        <f t="shared" si="0"/>
        <v>-</v>
      </c>
      <c r="H7" s="34" t="s">
        <v>2</v>
      </c>
      <c r="I7" s="11" t="s">
        <v>76</v>
      </c>
      <c r="J7" s="34" t="s">
        <v>248</v>
      </c>
      <c r="K7" s="11" t="s">
        <v>76</v>
      </c>
      <c r="L7" s="10">
        <v>1</v>
      </c>
      <c r="M7" s="41">
        <v>0</v>
      </c>
      <c r="N7" s="41">
        <v>0</v>
      </c>
      <c r="O7" s="41">
        <v>0</v>
      </c>
      <c r="P7" s="41">
        <v>0</v>
      </c>
      <c r="Q7" s="41">
        <v>0</v>
      </c>
      <c r="R7" s="41">
        <v>0</v>
      </c>
      <c r="S7" s="41">
        <v>0</v>
      </c>
      <c r="T7" s="41" t="s">
        <v>76</v>
      </c>
      <c r="U7" s="12" t="s">
        <v>76</v>
      </c>
      <c r="V7" s="10">
        <v>0</v>
      </c>
      <c r="W7" s="41">
        <v>1</v>
      </c>
      <c r="X7" s="41">
        <v>0</v>
      </c>
      <c r="Y7" s="41">
        <v>0</v>
      </c>
      <c r="Z7" s="41">
        <v>0</v>
      </c>
      <c r="AA7" s="41" t="s">
        <v>76</v>
      </c>
      <c r="AB7" s="10" t="s">
        <v>2</v>
      </c>
      <c r="AC7" s="42" t="s">
        <v>76</v>
      </c>
      <c r="AD7" s="34" t="s">
        <v>2</v>
      </c>
      <c r="AE7" s="41" t="s">
        <v>76</v>
      </c>
      <c r="AF7" s="43" t="s">
        <v>76</v>
      </c>
      <c r="AG7" s="43" t="s">
        <v>76</v>
      </c>
      <c r="AH7" s="43" t="s">
        <v>76</v>
      </c>
      <c r="AI7" s="11" t="s">
        <v>76</v>
      </c>
      <c r="AJ7" s="34" t="s">
        <v>2</v>
      </c>
      <c r="AK7" s="43" t="s">
        <v>76</v>
      </c>
      <c r="AL7" s="34" t="s">
        <v>76</v>
      </c>
      <c r="AM7" s="43" t="s">
        <v>76</v>
      </c>
      <c r="AN7" s="43" t="s">
        <v>76</v>
      </c>
      <c r="AO7" s="43" t="s">
        <v>76</v>
      </c>
      <c r="AP7" s="43" t="s">
        <v>76</v>
      </c>
      <c r="AQ7" s="43" t="s">
        <v>76</v>
      </c>
      <c r="AR7" s="11" t="s">
        <v>76</v>
      </c>
      <c r="AS7" s="34" t="s">
        <v>70</v>
      </c>
      <c r="AT7" s="11" t="s">
        <v>76</v>
      </c>
      <c r="AU7" s="34" t="s">
        <v>70</v>
      </c>
      <c r="AV7" s="43" t="s">
        <v>210</v>
      </c>
      <c r="AW7" s="11" t="s">
        <v>76</v>
      </c>
      <c r="AX7" s="34" t="s">
        <v>2</v>
      </c>
      <c r="AY7" s="43" t="s">
        <v>76</v>
      </c>
      <c r="AZ7" s="34" t="s">
        <v>76</v>
      </c>
      <c r="BA7" s="43" t="s">
        <v>76</v>
      </c>
      <c r="BB7" s="43" t="s">
        <v>76</v>
      </c>
      <c r="BC7" s="43" t="s">
        <v>76</v>
      </c>
      <c r="BD7" s="11" t="s">
        <v>76</v>
      </c>
      <c r="BE7" s="34" t="s">
        <v>76</v>
      </c>
      <c r="BF7" s="43" t="s">
        <v>76</v>
      </c>
      <c r="BG7" s="34" t="s">
        <v>70</v>
      </c>
      <c r="BH7" s="41" t="s">
        <v>76</v>
      </c>
      <c r="BI7" s="43" t="s">
        <v>76</v>
      </c>
      <c r="BJ7" s="11" t="s">
        <v>296</v>
      </c>
      <c r="BK7" s="34" t="s">
        <v>2</v>
      </c>
      <c r="BL7" s="43" t="s">
        <v>102</v>
      </c>
      <c r="BM7" s="43" t="s">
        <v>76</v>
      </c>
      <c r="BN7" s="43" t="s">
        <v>76</v>
      </c>
      <c r="BO7" s="11" t="s">
        <v>76</v>
      </c>
      <c r="BP7" s="41" t="s">
        <v>76</v>
      </c>
      <c r="BQ7" s="41" t="s">
        <v>76</v>
      </c>
      <c r="BR7" s="41" t="s">
        <v>76</v>
      </c>
      <c r="BS7" s="41" t="s">
        <v>76</v>
      </c>
      <c r="BT7" s="41" t="s">
        <v>76</v>
      </c>
      <c r="BU7" s="41" t="s">
        <v>76</v>
      </c>
      <c r="BV7" s="41" t="s">
        <v>76</v>
      </c>
      <c r="BW7" s="43" t="s">
        <v>76</v>
      </c>
      <c r="BX7" s="43" t="s">
        <v>76</v>
      </c>
      <c r="BY7" s="11" t="s">
        <v>76</v>
      </c>
    </row>
    <row r="8" spans="1:77" x14ac:dyDescent="0.3">
      <c r="A8" s="4" t="s">
        <v>29</v>
      </c>
      <c r="B8" s="5" t="s">
        <v>136</v>
      </c>
      <c r="C8" s="39">
        <v>1</v>
      </c>
      <c r="D8" s="40">
        <v>116</v>
      </c>
      <c r="E8" s="12" t="s">
        <v>76</v>
      </c>
      <c r="F8" s="40">
        <v>0.56999999999999995</v>
      </c>
      <c r="G8" s="12" t="str">
        <f t="shared" si="0"/>
        <v>-</v>
      </c>
      <c r="H8" s="34" t="s">
        <v>2</v>
      </c>
      <c r="I8" s="11" t="s">
        <v>76</v>
      </c>
      <c r="J8" s="34" t="s">
        <v>248</v>
      </c>
      <c r="K8" s="11" t="s">
        <v>76</v>
      </c>
      <c r="L8" s="10">
        <v>1</v>
      </c>
      <c r="M8" s="41">
        <v>0</v>
      </c>
      <c r="N8" s="41">
        <v>0</v>
      </c>
      <c r="O8" s="41">
        <v>0</v>
      </c>
      <c r="P8" s="41">
        <v>0</v>
      </c>
      <c r="Q8" s="41">
        <v>0</v>
      </c>
      <c r="R8" s="41">
        <v>0</v>
      </c>
      <c r="S8" s="41">
        <v>0</v>
      </c>
      <c r="T8" s="41" t="s">
        <v>76</v>
      </c>
      <c r="U8" s="12" t="s">
        <v>76</v>
      </c>
      <c r="V8" s="10" t="s">
        <v>76</v>
      </c>
      <c r="W8" s="41" t="s">
        <v>76</v>
      </c>
      <c r="X8" s="41" t="s">
        <v>76</v>
      </c>
      <c r="Y8" s="41" t="s">
        <v>76</v>
      </c>
      <c r="Z8" s="41" t="s">
        <v>76</v>
      </c>
      <c r="AA8" s="41" t="s">
        <v>76</v>
      </c>
      <c r="AB8" s="10" t="s">
        <v>2</v>
      </c>
      <c r="AC8" s="42" t="s">
        <v>76</v>
      </c>
      <c r="AD8" s="34" t="s">
        <v>2</v>
      </c>
      <c r="AE8" s="41" t="s">
        <v>76</v>
      </c>
      <c r="AF8" s="43" t="s">
        <v>76</v>
      </c>
      <c r="AG8" s="43" t="s">
        <v>76</v>
      </c>
      <c r="AH8" s="43" t="s">
        <v>76</v>
      </c>
      <c r="AI8" s="11" t="s">
        <v>76</v>
      </c>
      <c r="AJ8" s="34" t="s">
        <v>2</v>
      </c>
      <c r="AK8" s="43" t="s">
        <v>76</v>
      </c>
      <c r="AL8" s="34" t="s">
        <v>76</v>
      </c>
      <c r="AM8" s="43" t="s">
        <v>76</v>
      </c>
      <c r="AN8" s="43" t="s">
        <v>76</v>
      </c>
      <c r="AO8" s="43" t="s">
        <v>76</v>
      </c>
      <c r="AP8" s="43" t="s">
        <v>76</v>
      </c>
      <c r="AQ8" s="43" t="s">
        <v>76</v>
      </c>
      <c r="AR8" s="11" t="s">
        <v>76</v>
      </c>
      <c r="AS8" s="34" t="s">
        <v>70</v>
      </c>
      <c r="AT8" s="11" t="s">
        <v>76</v>
      </c>
      <c r="AU8" s="34" t="s">
        <v>70</v>
      </c>
      <c r="AV8" s="43" t="s">
        <v>76</v>
      </c>
      <c r="AW8" s="11" t="s">
        <v>76</v>
      </c>
      <c r="AX8" s="34" t="s">
        <v>76</v>
      </c>
      <c r="AY8" s="43" t="s">
        <v>76</v>
      </c>
      <c r="AZ8" s="10">
        <v>1</v>
      </c>
      <c r="BA8" s="41">
        <v>0</v>
      </c>
      <c r="BB8" s="41">
        <v>1</v>
      </c>
      <c r="BC8" s="41" t="s">
        <v>76</v>
      </c>
      <c r="BD8" s="11" t="s">
        <v>76</v>
      </c>
      <c r="BE8" s="34" t="s">
        <v>76</v>
      </c>
      <c r="BF8" s="43" t="s">
        <v>76</v>
      </c>
      <c r="BG8" s="34" t="s">
        <v>70</v>
      </c>
      <c r="BH8" s="41">
        <v>14</v>
      </c>
      <c r="BI8" s="43" t="s">
        <v>76</v>
      </c>
      <c r="BJ8" s="11" t="s">
        <v>76</v>
      </c>
      <c r="BK8" s="34" t="s">
        <v>2</v>
      </c>
      <c r="BL8" s="43" t="s">
        <v>224</v>
      </c>
      <c r="BM8" s="43" t="s">
        <v>76</v>
      </c>
      <c r="BN8" s="43" t="s">
        <v>76</v>
      </c>
      <c r="BO8" s="11" t="s">
        <v>300</v>
      </c>
      <c r="BP8" s="41">
        <v>0</v>
      </c>
      <c r="BQ8" s="41">
        <v>0</v>
      </c>
      <c r="BR8" s="41">
        <v>0</v>
      </c>
      <c r="BS8" s="41">
        <v>0</v>
      </c>
      <c r="BT8" s="41">
        <v>0</v>
      </c>
      <c r="BU8" s="41">
        <v>0</v>
      </c>
      <c r="BV8" s="41">
        <v>1</v>
      </c>
      <c r="BW8" s="43" t="s">
        <v>76</v>
      </c>
      <c r="BX8" s="43" t="s">
        <v>76</v>
      </c>
      <c r="BY8" s="11" t="s">
        <v>76</v>
      </c>
    </row>
    <row r="9" spans="1:77" x14ac:dyDescent="0.3">
      <c r="A9" s="4" t="s">
        <v>30</v>
      </c>
      <c r="B9" s="5" t="s">
        <v>152</v>
      </c>
      <c r="C9" s="39">
        <v>1</v>
      </c>
      <c r="D9" s="40">
        <v>11</v>
      </c>
      <c r="E9" s="12" t="s">
        <v>76</v>
      </c>
      <c r="F9" s="40">
        <v>0.9</v>
      </c>
      <c r="G9" s="12" t="str">
        <f t="shared" si="0"/>
        <v>-</v>
      </c>
      <c r="H9" s="34" t="s">
        <v>2</v>
      </c>
      <c r="I9" s="11" t="s">
        <v>76</v>
      </c>
      <c r="J9" s="34" t="s">
        <v>248</v>
      </c>
      <c r="K9" s="11" t="s">
        <v>76</v>
      </c>
      <c r="L9" s="10">
        <v>1</v>
      </c>
      <c r="M9" s="41">
        <v>0</v>
      </c>
      <c r="N9" s="41">
        <v>0</v>
      </c>
      <c r="O9" s="41">
        <v>0</v>
      </c>
      <c r="P9" s="41">
        <v>0</v>
      </c>
      <c r="Q9" s="41">
        <v>0</v>
      </c>
      <c r="R9" s="41">
        <v>0</v>
      </c>
      <c r="S9" s="41">
        <v>0</v>
      </c>
      <c r="T9" s="41" t="s">
        <v>76</v>
      </c>
      <c r="U9" s="12" t="s">
        <v>76</v>
      </c>
      <c r="V9" s="10">
        <v>0</v>
      </c>
      <c r="W9" s="41">
        <v>1</v>
      </c>
      <c r="X9" s="41">
        <v>0</v>
      </c>
      <c r="Y9" s="41">
        <v>0</v>
      </c>
      <c r="Z9" s="41">
        <v>0</v>
      </c>
      <c r="AA9" s="41" t="s">
        <v>76</v>
      </c>
      <c r="AB9" s="10" t="s">
        <v>2</v>
      </c>
      <c r="AC9" s="42" t="s">
        <v>76</v>
      </c>
      <c r="AD9" s="34" t="s">
        <v>2</v>
      </c>
      <c r="AE9" s="41" t="s">
        <v>76</v>
      </c>
      <c r="AF9" s="43" t="s">
        <v>76</v>
      </c>
      <c r="AG9" s="43" t="s">
        <v>76</v>
      </c>
      <c r="AH9" s="43" t="s">
        <v>76</v>
      </c>
      <c r="AI9" s="11" t="s">
        <v>76</v>
      </c>
      <c r="AJ9" s="34" t="s">
        <v>2</v>
      </c>
      <c r="AK9" s="43" t="s">
        <v>76</v>
      </c>
      <c r="AL9" s="34" t="s">
        <v>76</v>
      </c>
      <c r="AM9" s="43" t="s">
        <v>76</v>
      </c>
      <c r="AN9" s="43" t="s">
        <v>76</v>
      </c>
      <c r="AO9" s="43" t="s">
        <v>76</v>
      </c>
      <c r="AP9" s="43" t="s">
        <v>76</v>
      </c>
      <c r="AQ9" s="43" t="s">
        <v>76</v>
      </c>
      <c r="AR9" s="11" t="s">
        <v>76</v>
      </c>
      <c r="AS9" s="34" t="s">
        <v>2</v>
      </c>
      <c r="AT9" s="11" t="s">
        <v>76</v>
      </c>
      <c r="AU9" s="34" t="s">
        <v>2</v>
      </c>
      <c r="AV9" s="43" t="s">
        <v>76</v>
      </c>
      <c r="AW9" s="11" t="s">
        <v>76</v>
      </c>
      <c r="AX9" s="34" t="s">
        <v>2</v>
      </c>
      <c r="AY9" s="43" t="s">
        <v>76</v>
      </c>
      <c r="AZ9" s="10" t="s">
        <v>76</v>
      </c>
      <c r="BA9" s="41" t="s">
        <v>76</v>
      </c>
      <c r="BB9" s="41" t="s">
        <v>76</v>
      </c>
      <c r="BC9" s="41" t="s">
        <v>76</v>
      </c>
      <c r="BD9" s="11" t="s">
        <v>76</v>
      </c>
      <c r="BE9" s="34" t="s">
        <v>76</v>
      </c>
      <c r="BF9" s="43" t="s">
        <v>76</v>
      </c>
      <c r="BG9" s="34" t="s">
        <v>2</v>
      </c>
      <c r="BH9" s="41" t="s">
        <v>76</v>
      </c>
      <c r="BI9" s="43" t="s">
        <v>76</v>
      </c>
      <c r="BJ9" s="11" t="s">
        <v>76</v>
      </c>
      <c r="BK9" s="34" t="s">
        <v>2</v>
      </c>
      <c r="BL9" s="43" t="s">
        <v>76</v>
      </c>
      <c r="BM9" s="43" t="s">
        <v>76</v>
      </c>
      <c r="BN9" s="43" t="s">
        <v>76</v>
      </c>
      <c r="BO9" s="11" t="s">
        <v>76</v>
      </c>
      <c r="BP9" s="41">
        <v>0</v>
      </c>
      <c r="BQ9" s="41">
        <v>0</v>
      </c>
      <c r="BR9" s="41">
        <v>0</v>
      </c>
      <c r="BS9" s="41">
        <v>0</v>
      </c>
      <c r="BT9" s="41">
        <v>0</v>
      </c>
      <c r="BU9" s="41">
        <v>0</v>
      </c>
      <c r="BV9" s="41">
        <v>1</v>
      </c>
      <c r="BW9" s="43" t="s">
        <v>76</v>
      </c>
      <c r="BX9" s="43" t="s">
        <v>76</v>
      </c>
      <c r="BY9" s="11" t="s">
        <v>76</v>
      </c>
    </row>
    <row r="10" spans="1:77" x14ac:dyDescent="0.3">
      <c r="A10" s="4" t="s">
        <v>31</v>
      </c>
      <c r="B10" s="5" t="s">
        <v>137</v>
      </c>
      <c r="C10" s="39">
        <v>1</v>
      </c>
      <c r="D10" s="40">
        <v>36</v>
      </c>
      <c r="E10" s="12" t="s">
        <v>76</v>
      </c>
      <c r="F10" s="40">
        <v>1.35</v>
      </c>
      <c r="G10" s="12" t="str">
        <f t="shared" si="0"/>
        <v>-</v>
      </c>
      <c r="H10" s="34" t="s">
        <v>2</v>
      </c>
      <c r="I10" s="11" t="s">
        <v>76</v>
      </c>
      <c r="J10" s="34" t="s">
        <v>250</v>
      </c>
      <c r="K10" s="11" t="s">
        <v>76</v>
      </c>
      <c r="L10" s="10">
        <v>0</v>
      </c>
      <c r="M10" s="41">
        <v>1</v>
      </c>
      <c r="N10" s="41">
        <v>0</v>
      </c>
      <c r="O10" s="41">
        <v>0</v>
      </c>
      <c r="P10" s="41">
        <v>0</v>
      </c>
      <c r="Q10" s="41">
        <v>0</v>
      </c>
      <c r="R10" s="41">
        <v>0</v>
      </c>
      <c r="S10" s="41">
        <v>0</v>
      </c>
      <c r="T10" s="41" t="s">
        <v>76</v>
      </c>
      <c r="U10" s="12" t="s">
        <v>76</v>
      </c>
      <c r="V10" s="10">
        <v>1</v>
      </c>
      <c r="W10" s="41">
        <v>1</v>
      </c>
      <c r="X10" s="41">
        <v>1</v>
      </c>
      <c r="Y10" s="41">
        <v>0</v>
      </c>
      <c r="Z10" s="41">
        <v>0</v>
      </c>
      <c r="AA10" s="41" t="s">
        <v>76</v>
      </c>
      <c r="AB10" s="10" t="s">
        <v>70</v>
      </c>
      <c r="AC10" s="42">
        <v>26</v>
      </c>
      <c r="AD10" s="34" t="s">
        <v>2</v>
      </c>
      <c r="AE10" s="41" t="s">
        <v>76</v>
      </c>
      <c r="AF10" s="43" t="s">
        <v>76</v>
      </c>
      <c r="AG10" s="43" t="s">
        <v>76</v>
      </c>
      <c r="AH10" s="43" t="s">
        <v>76</v>
      </c>
      <c r="AI10" s="11" t="s">
        <v>76</v>
      </c>
      <c r="AJ10" s="34" t="s">
        <v>2</v>
      </c>
      <c r="AK10" s="43" t="s">
        <v>76</v>
      </c>
      <c r="AL10" s="34">
        <v>1</v>
      </c>
      <c r="AM10" s="43">
        <v>1</v>
      </c>
      <c r="AN10" s="43">
        <v>1</v>
      </c>
      <c r="AO10" s="43">
        <v>0</v>
      </c>
      <c r="AP10" s="43">
        <v>0</v>
      </c>
      <c r="AQ10" s="43" t="s">
        <v>76</v>
      </c>
      <c r="AR10" s="11" t="s">
        <v>76</v>
      </c>
      <c r="AS10" s="34" t="s">
        <v>70</v>
      </c>
      <c r="AT10" s="11" t="s">
        <v>76</v>
      </c>
      <c r="AU10" s="34" t="s">
        <v>70</v>
      </c>
      <c r="AV10" s="43" t="s">
        <v>76</v>
      </c>
      <c r="AW10" s="11" t="s">
        <v>284</v>
      </c>
      <c r="AX10" s="34" t="s">
        <v>2</v>
      </c>
      <c r="AY10" s="43" t="s">
        <v>76</v>
      </c>
      <c r="AZ10" s="10" t="s">
        <v>76</v>
      </c>
      <c r="BA10" s="41" t="s">
        <v>76</v>
      </c>
      <c r="BB10" s="41" t="s">
        <v>76</v>
      </c>
      <c r="BC10" s="41" t="s">
        <v>76</v>
      </c>
      <c r="BD10" s="11" t="s">
        <v>76</v>
      </c>
      <c r="BE10" s="34" t="s">
        <v>76</v>
      </c>
      <c r="BF10" s="43" t="s">
        <v>76</v>
      </c>
      <c r="BG10" s="34" t="s">
        <v>70</v>
      </c>
      <c r="BH10" s="41" t="s">
        <v>76</v>
      </c>
      <c r="BI10" s="43" t="s">
        <v>76</v>
      </c>
      <c r="BJ10" s="11" t="s">
        <v>297</v>
      </c>
      <c r="BK10" s="34" t="s">
        <v>70</v>
      </c>
      <c r="BL10" s="43" t="s">
        <v>102</v>
      </c>
      <c r="BM10" s="43" t="s">
        <v>76</v>
      </c>
      <c r="BN10" s="43">
        <v>140</v>
      </c>
      <c r="BO10" s="11" t="s">
        <v>76</v>
      </c>
      <c r="BP10" s="41">
        <v>0</v>
      </c>
      <c r="BQ10" s="41">
        <v>0</v>
      </c>
      <c r="BR10" s="41">
        <v>0</v>
      </c>
      <c r="BS10" s="41">
        <v>0</v>
      </c>
      <c r="BT10" s="41">
        <v>0</v>
      </c>
      <c r="BU10" s="41">
        <v>0</v>
      </c>
      <c r="BV10" s="41">
        <v>1</v>
      </c>
      <c r="BW10" s="43" t="s">
        <v>76</v>
      </c>
      <c r="BX10" s="43" t="s">
        <v>76</v>
      </c>
      <c r="BY10" s="11" t="s">
        <v>76</v>
      </c>
    </row>
    <row r="11" spans="1:77" x14ac:dyDescent="0.3">
      <c r="A11" s="4" t="s">
        <v>32</v>
      </c>
      <c r="B11" s="5" t="s">
        <v>138</v>
      </c>
      <c r="C11" s="39">
        <v>1</v>
      </c>
      <c r="D11" s="40">
        <v>13</v>
      </c>
      <c r="E11" s="12" t="s">
        <v>76</v>
      </c>
      <c r="F11" s="40">
        <v>1.88</v>
      </c>
      <c r="G11" s="12" t="str">
        <f t="shared" si="0"/>
        <v>-</v>
      </c>
      <c r="H11" s="34" t="s">
        <v>2</v>
      </c>
      <c r="I11" s="11" t="s">
        <v>76</v>
      </c>
      <c r="J11" s="34" t="s">
        <v>250</v>
      </c>
      <c r="K11" s="11" t="s">
        <v>76</v>
      </c>
      <c r="L11" s="10">
        <v>1</v>
      </c>
      <c r="M11" s="41">
        <v>0</v>
      </c>
      <c r="N11" s="41">
        <v>0</v>
      </c>
      <c r="O11" s="41">
        <v>0</v>
      </c>
      <c r="P11" s="41">
        <v>0</v>
      </c>
      <c r="Q11" s="41">
        <v>0</v>
      </c>
      <c r="R11" s="41">
        <v>0</v>
      </c>
      <c r="S11" s="41">
        <v>0</v>
      </c>
      <c r="T11" s="41" t="s">
        <v>76</v>
      </c>
      <c r="U11" s="12" t="s">
        <v>76</v>
      </c>
      <c r="V11" s="10">
        <v>0</v>
      </c>
      <c r="W11" s="41">
        <v>1</v>
      </c>
      <c r="X11" s="41">
        <v>0</v>
      </c>
      <c r="Y11" s="41">
        <v>0</v>
      </c>
      <c r="Z11" s="41">
        <v>0</v>
      </c>
      <c r="AA11" s="41" t="s">
        <v>76</v>
      </c>
      <c r="AB11" s="10" t="s">
        <v>70</v>
      </c>
      <c r="AC11" s="42">
        <v>12</v>
      </c>
      <c r="AD11" s="34" t="s">
        <v>70</v>
      </c>
      <c r="AE11" s="41">
        <v>1</v>
      </c>
      <c r="AF11" s="43" t="s">
        <v>76</v>
      </c>
      <c r="AG11" s="43" t="s">
        <v>76</v>
      </c>
      <c r="AH11" s="43" t="s">
        <v>76</v>
      </c>
      <c r="AI11" s="11" t="s">
        <v>76</v>
      </c>
      <c r="AJ11" s="34" t="s">
        <v>2</v>
      </c>
      <c r="AK11" s="43" t="s">
        <v>76</v>
      </c>
      <c r="AL11" s="34">
        <v>0</v>
      </c>
      <c r="AM11" s="43">
        <v>1</v>
      </c>
      <c r="AN11" s="43">
        <v>0</v>
      </c>
      <c r="AO11" s="43">
        <v>0</v>
      </c>
      <c r="AP11" s="43">
        <v>0</v>
      </c>
      <c r="AQ11" s="43" t="s">
        <v>76</v>
      </c>
      <c r="AR11" s="11" t="s">
        <v>76</v>
      </c>
      <c r="AS11" s="34" t="s">
        <v>70</v>
      </c>
      <c r="AT11" s="11" t="s">
        <v>277</v>
      </c>
      <c r="AU11" s="34" t="s">
        <v>70</v>
      </c>
      <c r="AV11" s="43" t="s">
        <v>208</v>
      </c>
      <c r="AW11" s="11" t="s">
        <v>76</v>
      </c>
      <c r="AX11" s="34" t="s">
        <v>2</v>
      </c>
      <c r="AY11" s="43" t="s">
        <v>76</v>
      </c>
      <c r="AZ11" s="10" t="s">
        <v>76</v>
      </c>
      <c r="BA11" s="41" t="s">
        <v>76</v>
      </c>
      <c r="BB11" s="41" t="s">
        <v>76</v>
      </c>
      <c r="BC11" s="41" t="s">
        <v>76</v>
      </c>
      <c r="BD11" s="11" t="s">
        <v>76</v>
      </c>
      <c r="BE11" s="34" t="s">
        <v>76</v>
      </c>
      <c r="BF11" s="43" t="s">
        <v>76</v>
      </c>
      <c r="BG11" s="34" t="s">
        <v>70</v>
      </c>
      <c r="BH11" s="41">
        <v>10</v>
      </c>
      <c r="BI11" s="43" t="s">
        <v>76</v>
      </c>
      <c r="BJ11" s="11" t="s">
        <v>76</v>
      </c>
      <c r="BK11" s="34" t="s">
        <v>70</v>
      </c>
      <c r="BL11" s="43" t="s">
        <v>102</v>
      </c>
      <c r="BM11" s="43" t="s">
        <v>76</v>
      </c>
      <c r="BN11" s="43">
        <v>60</v>
      </c>
      <c r="BO11" s="11" t="s">
        <v>76</v>
      </c>
      <c r="BP11" s="41">
        <v>1</v>
      </c>
      <c r="BQ11" s="41">
        <v>0</v>
      </c>
      <c r="BR11" s="41">
        <v>0</v>
      </c>
      <c r="BS11" s="41">
        <v>0</v>
      </c>
      <c r="BT11" s="41">
        <v>0</v>
      </c>
      <c r="BU11" s="41">
        <v>0</v>
      </c>
      <c r="BV11" s="41">
        <v>0</v>
      </c>
      <c r="BW11" s="43" t="s">
        <v>76</v>
      </c>
      <c r="BX11" s="43" t="s">
        <v>76</v>
      </c>
      <c r="BY11" s="11" t="s">
        <v>76</v>
      </c>
    </row>
    <row r="12" spans="1:77" x14ac:dyDescent="0.3">
      <c r="A12" s="4" t="s">
        <v>33</v>
      </c>
      <c r="B12" s="5" t="s">
        <v>139</v>
      </c>
      <c r="C12" s="39">
        <v>1</v>
      </c>
      <c r="D12" s="40">
        <v>170</v>
      </c>
      <c r="E12" s="12" t="s">
        <v>76</v>
      </c>
      <c r="F12" s="40">
        <v>0.45</v>
      </c>
      <c r="G12" s="12" t="str">
        <f t="shared" si="0"/>
        <v>-</v>
      </c>
      <c r="H12" s="34" t="s">
        <v>2</v>
      </c>
      <c r="I12" s="11" t="s">
        <v>76</v>
      </c>
      <c r="J12" s="34" t="s">
        <v>248</v>
      </c>
      <c r="K12" s="11" t="s">
        <v>76</v>
      </c>
      <c r="L12" s="10">
        <v>0</v>
      </c>
      <c r="M12" s="41">
        <v>1</v>
      </c>
      <c r="N12" s="41">
        <v>0</v>
      </c>
      <c r="O12" s="41">
        <v>0</v>
      </c>
      <c r="P12" s="41">
        <v>0</v>
      </c>
      <c r="Q12" s="41">
        <v>0</v>
      </c>
      <c r="R12" s="41">
        <v>0</v>
      </c>
      <c r="S12" s="41">
        <v>0</v>
      </c>
      <c r="T12" s="41" t="s">
        <v>76</v>
      </c>
      <c r="U12" s="12" t="s">
        <v>76</v>
      </c>
      <c r="V12" s="10">
        <v>0</v>
      </c>
      <c r="W12" s="41">
        <v>1</v>
      </c>
      <c r="X12" s="41">
        <v>0</v>
      </c>
      <c r="Y12" s="41">
        <v>0</v>
      </c>
      <c r="Z12" s="41">
        <v>0</v>
      </c>
      <c r="AA12" s="41" t="s">
        <v>76</v>
      </c>
      <c r="AB12" s="10" t="s">
        <v>2</v>
      </c>
      <c r="AC12" s="42" t="s">
        <v>76</v>
      </c>
      <c r="AD12" s="34" t="s">
        <v>2</v>
      </c>
      <c r="AE12" s="41" t="s">
        <v>76</v>
      </c>
      <c r="AF12" s="43" t="s">
        <v>76</v>
      </c>
      <c r="AG12" s="43" t="s">
        <v>76</v>
      </c>
      <c r="AH12" s="43" t="s">
        <v>76</v>
      </c>
      <c r="AI12" s="11" t="s">
        <v>76</v>
      </c>
      <c r="AJ12" s="34" t="s">
        <v>2</v>
      </c>
      <c r="AK12" s="43" t="s">
        <v>76</v>
      </c>
      <c r="AL12" s="34" t="s">
        <v>76</v>
      </c>
      <c r="AM12" s="43" t="s">
        <v>76</v>
      </c>
      <c r="AN12" s="43" t="s">
        <v>76</v>
      </c>
      <c r="AO12" s="43" t="s">
        <v>76</v>
      </c>
      <c r="AP12" s="43" t="s">
        <v>76</v>
      </c>
      <c r="AQ12" s="43" t="s">
        <v>76</v>
      </c>
      <c r="AR12" s="11" t="s">
        <v>76</v>
      </c>
      <c r="AS12" s="34" t="s">
        <v>70</v>
      </c>
      <c r="AT12" s="11" t="s">
        <v>278</v>
      </c>
      <c r="AU12" s="34" t="s">
        <v>70</v>
      </c>
      <c r="AV12" s="43" t="s">
        <v>209</v>
      </c>
      <c r="AW12" s="11" t="s">
        <v>76</v>
      </c>
      <c r="AX12" s="34" t="s">
        <v>2</v>
      </c>
      <c r="AY12" s="43" t="s">
        <v>76</v>
      </c>
      <c r="AZ12" s="10" t="s">
        <v>76</v>
      </c>
      <c r="BA12" s="41" t="s">
        <v>76</v>
      </c>
      <c r="BB12" s="41" t="s">
        <v>76</v>
      </c>
      <c r="BC12" s="41" t="s">
        <v>76</v>
      </c>
      <c r="BD12" s="11" t="s">
        <v>76</v>
      </c>
      <c r="BE12" s="34" t="s">
        <v>70</v>
      </c>
      <c r="BF12" s="43" t="s">
        <v>292</v>
      </c>
      <c r="BG12" s="34" t="s">
        <v>76</v>
      </c>
      <c r="BH12" s="41" t="s">
        <v>76</v>
      </c>
      <c r="BI12" s="43" t="s">
        <v>76</v>
      </c>
      <c r="BJ12" s="11" t="s">
        <v>76</v>
      </c>
      <c r="BK12" s="34" t="s">
        <v>76</v>
      </c>
      <c r="BL12" s="43" t="s">
        <v>76</v>
      </c>
      <c r="BM12" s="43" t="s">
        <v>76</v>
      </c>
      <c r="BN12" s="43" t="s">
        <v>76</v>
      </c>
      <c r="BO12" s="11" t="s">
        <v>76</v>
      </c>
      <c r="BP12" s="41">
        <v>0</v>
      </c>
      <c r="BQ12" s="41">
        <v>1</v>
      </c>
      <c r="BR12" s="41">
        <v>0</v>
      </c>
      <c r="BS12" s="41">
        <v>0</v>
      </c>
      <c r="BT12" s="41">
        <v>0</v>
      </c>
      <c r="BU12" s="41">
        <v>0</v>
      </c>
      <c r="BV12" s="41">
        <v>0</v>
      </c>
      <c r="BW12" s="43" t="s">
        <v>76</v>
      </c>
      <c r="BX12" s="43" t="s">
        <v>76</v>
      </c>
      <c r="BY12" s="11" t="s">
        <v>309</v>
      </c>
    </row>
    <row r="13" spans="1:77" x14ac:dyDescent="0.3">
      <c r="A13" s="4" t="s">
        <v>34</v>
      </c>
      <c r="B13" s="5" t="s">
        <v>153</v>
      </c>
      <c r="C13" s="39">
        <v>1</v>
      </c>
      <c r="D13" s="40">
        <v>25</v>
      </c>
      <c r="E13" s="12" t="s">
        <v>76</v>
      </c>
      <c r="F13" s="40">
        <v>0.1</v>
      </c>
      <c r="G13" s="12" t="str">
        <f t="shared" si="0"/>
        <v>-</v>
      </c>
      <c r="H13" s="34" t="s">
        <v>2</v>
      </c>
      <c r="I13" s="11" t="s">
        <v>76</v>
      </c>
      <c r="J13" s="34" t="s">
        <v>248</v>
      </c>
      <c r="K13" s="11" t="s">
        <v>76</v>
      </c>
      <c r="L13" s="10">
        <v>1</v>
      </c>
      <c r="M13" s="41">
        <v>0</v>
      </c>
      <c r="N13" s="41">
        <v>0</v>
      </c>
      <c r="O13" s="41">
        <v>0</v>
      </c>
      <c r="P13" s="41">
        <v>0</v>
      </c>
      <c r="Q13" s="41">
        <v>0</v>
      </c>
      <c r="R13" s="41">
        <v>0</v>
      </c>
      <c r="S13" s="41">
        <v>0</v>
      </c>
      <c r="T13" s="41" t="s">
        <v>76</v>
      </c>
      <c r="U13" s="12" t="s">
        <v>76</v>
      </c>
      <c r="V13" s="10" t="s">
        <v>76</v>
      </c>
      <c r="W13" s="41" t="s">
        <v>76</v>
      </c>
      <c r="X13" s="41" t="s">
        <v>76</v>
      </c>
      <c r="Y13" s="41" t="s">
        <v>76</v>
      </c>
      <c r="Z13" s="41" t="s">
        <v>76</v>
      </c>
      <c r="AA13" s="41" t="s">
        <v>76</v>
      </c>
      <c r="AB13" s="10" t="s">
        <v>2</v>
      </c>
      <c r="AC13" s="42" t="s">
        <v>76</v>
      </c>
      <c r="AD13" s="34" t="s">
        <v>2</v>
      </c>
      <c r="AE13" s="41" t="s">
        <v>76</v>
      </c>
      <c r="AF13" s="43" t="s">
        <v>76</v>
      </c>
      <c r="AG13" s="43" t="s">
        <v>76</v>
      </c>
      <c r="AH13" s="43" t="s">
        <v>76</v>
      </c>
      <c r="AI13" s="11" t="s">
        <v>76</v>
      </c>
      <c r="AJ13" s="34" t="s">
        <v>2</v>
      </c>
      <c r="AK13" s="43" t="s">
        <v>76</v>
      </c>
      <c r="AL13" s="34" t="s">
        <v>76</v>
      </c>
      <c r="AM13" s="43" t="s">
        <v>76</v>
      </c>
      <c r="AN13" s="43" t="s">
        <v>76</v>
      </c>
      <c r="AO13" s="43" t="s">
        <v>76</v>
      </c>
      <c r="AP13" s="43" t="s">
        <v>76</v>
      </c>
      <c r="AQ13" s="43" t="s">
        <v>76</v>
      </c>
      <c r="AR13" s="11" t="s">
        <v>76</v>
      </c>
      <c r="AS13" s="34" t="s">
        <v>2</v>
      </c>
      <c r="AT13" s="11" t="s">
        <v>76</v>
      </c>
      <c r="AU13" s="34" t="s">
        <v>2</v>
      </c>
      <c r="AV13" s="43" t="s">
        <v>76</v>
      </c>
      <c r="AW13" s="11" t="s">
        <v>76</v>
      </c>
      <c r="AX13" s="34" t="s">
        <v>2</v>
      </c>
      <c r="AY13" s="43" t="s">
        <v>76</v>
      </c>
      <c r="AZ13" s="10" t="s">
        <v>76</v>
      </c>
      <c r="BA13" s="41" t="s">
        <v>76</v>
      </c>
      <c r="BB13" s="41" t="s">
        <v>76</v>
      </c>
      <c r="BC13" s="41" t="s">
        <v>76</v>
      </c>
      <c r="BD13" s="11" t="s">
        <v>288</v>
      </c>
      <c r="BE13" s="34" t="s">
        <v>2</v>
      </c>
      <c r="BF13" s="43" t="s">
        <v>76</v>
      </c>
      <c r="BG13" s="34" t="s">
        <v>2</v>
      </c>
      <c r="BH13" s="41" t="s">
        <v>76</v>
      </c>
      <c r="BI13" s="43" t="s">
        <v>76</v>
      </c>
      <c r="BJ13" s="11" t="s">
        <v>76</v>
      </c>
      <c r="BK13" s="34" t="s">
        <v>70</v>
      </c>
      <c r="BL13" s="43" t="s">
        <v>102</v>
      </c>
      <c r="BM13" s="43" t="s">
        <v>76</v>
      </c>
      <c r="BN13" s="43">
        <v>10</v>
      </c>
      <c r="BO13" s="11" t="s">
        <v>220</v>
      </c>
      <c r="BP13" s="41">
        <v>0</v>
      </c>
      <c r="BQ13" s="41">
        <v>0</v>
      </c>
      <c r="BR13" s="41">
        <v>1</v>
      </c>
      <c r="BS13" s="41">
        <v>0</v>
      </c>
      <c r="BT13" s="41">
        <v>0</v>
      </c>
      <c r="BU13" s="41">
        <v>0</v>
      </c>
      <c r="BV13" s="41">
        <v>0</v>
      </c>
      <c r="BW13" s="43" t="s">
        <v>76</v>
      </c>
      <c r="BX13" s="43" t="s">
        <v>76</v>
      </c>
      <c r="BY13" s="12" t="s">
        <v>308</v>
      </c>
    </row>
    <row r="14" spans="1:77" x14ac:dyDescent="0.3">
      <c r="A14" s="4" t="s">
        <v>35</v>
      </c>
      <c r="B14" s="5" t="s">
        <v>140</v>
      </c>
      <c r="C14" s="39">
        <v>1</v>
      </c>
      <c r="D14" s="40">
        <v>10</v>
      </c>
      <c r="E14" s="12" t="s">
        <v>76</v>
      </c>
      <c r="F14" s="40">
        <v>2.5</v>
      </c>
      <c r="G14" s="12" t="str">
        <f t="shared" si="0"/>
        <v>-</v>
      </c>
      <c r="H14" s="34" t="s">
        <v>2</v>
      </c>
      <c r="I14" s="11" t="s">
        <v>76</v>
      </c>
      <c r="J14" s="34" t="s">
        <v>249</v>
      </c>
      <c r="K14" s="11" t="s">
        <v>197</v>
      </c>
      <c r="L14" s="10">
        <v>1</v>
      </c>
      <c r="M14" s="41">
        <v>0</v>
      </c>
      <c r="N14" s="41">
        <v>0</v>
      </c>
      <c r="O14" s="41">
        <v>0</v>
      </c>
      <c r="P14" s="41">
        <v>0</v>
      </c>
      <c r="Q14" s="41">
        <v>0</v>
      </c>
      <c r="R14" s="41">
        <v>0</v>
      </c>
      <c r="S14" s="41">
        <v>0</v>
      </c>
      <c r="T14" s="41" t="s">
        <v>76</v>
      </c>
      <c r="U14" s="12" t="s">
        <v>76</v>
      </c>
      <c r="V14" s="10">
        <v>0</v>
      </c>
      <c r="W14" s="41">
        <v>1</v>
      </c>
      <c r="X14" s="41">
        <v>0</v>
      </c>
      <c r="Y14" s="41">
        <v>0</v>
      </c>
      <c r="Z14" s="41">
        <v>0</v>
      </c>
      <c r="AA14" s="41" t="s">
        <v>76</v>
      </c>
      <c r="AB14" s="10" t="s">
        <v>70</v>
      </c>
      <c r="AC14" s="42" t="s">
        <v>76</v>
      </c>
      <c r="AD14" s="34" t="s">
        <v>70</v>
      </c>
      <c r="AE14" s="41">
        <v>1</v>
      </c>
      <c r="AF14" s="43" t="s">
        <v>76</v>
      </c>
      <c r="AG14" s="43" t="s">
        <v>76</v>
      </c>
      <c r="AH14" s="43" t="s">
        <v>76</v>
      </c>
      <c r="AI14" s="11" t="s">
        <v>201</v>
      </c>
      <c r="AJ14" s="34" t="s">
        <v>2</v>
      </c>
      <c r="AK14" s="43" t="s">
        <v>76</v>
      </c>
      <c r="AL14" s="34">
        <v>0</v>
      </c>
      <c r="AM14" s="43">
        <v>1</v>
      </c>
      <c r="AN14" s="43">
        <v>0</v>
      </c>
      <c r="AO14" s="43">
        <v>0</v>
      </c>
      <c r="AP14" s="43">
        <v>0</v>
      </c>
      <c r="AQ14" s="43" t="s">
        <v>76</v>
      </c>
      <c r="AR14" s="11" t="s">
        <v>76</v>
      </c>
      <c r="AS14" s="34" t="s">
        <v>2</v>
      </c>
      <c r="AT14" s="11" t="s">
        <v>76</v>
      </c>
      <c r="AU14" s="34" t="s">
        <v>2</v>
      </c>
      <c r="AV14" s="43" t="s">
        <v>76</v>
      </c>
      <c r="AW14" s="11" t="s">
        <v>76</v>
      </c>
      <c r="AX14" s="34" t="s">
        <v>70</v>
      </c>
      <c r="AY14" s="43" t="s">
        <v>76</v>
      </c>
      <c r="AZ14" s="10" t="s">
        <v>76</v>
      </c>
      <c r="BA14" s="41" t="s">
        <v>76</v>
      </c>
      <c r="BB14" s="41" t="s">
        <v>76</v>
      </c>
      <c r="BC14" s="41" t="s">
        <v>76</v>
      </c>
      <c r="BD14" s="11" t="s">
        <v>76</v>
      </c>
      <c r="BE14" s="34" t="s">
        <v>76</v>
      </c>
      <c r="BF14" s="43" t="s">
        <v>76</v>
      </c>
      <c r="BG14" s="34" t="s">
        <v>2</v>
      </c>
      <c r="BH14" s="41" t="s">
        <v>76</v>
      </c>
      <c r="BI14" s="43" t="s">
        <v>76</v>
      </c>
      <c r="BJ14" s="11" t="s">
        <v>76</v>
      </c>
      <c r="BK14" s="34" t="s">
        <v>2</v>
      </c>
      <c r="BL14" s="43" t="s">
        <v>76</v>
      </c>
      <c r="BM14" s="43" t="s">
        <v>76</v>
      </c>
      <c r="BN14" s="43" t="s">
        <v>76</v>
      </c>
      <c r="BO14" s="11" t="s">
        <v>76</v>
      </c>
      <c r="BP14" s="41">
        <v>1</v>
      </c>
      <c r="BQ14" s="41">
        <v>0</v>
      </c>
      <c r="BR14" s="41">
        <v>0</v>
      </c>
      <c r="BS14" s="41">
        <v>0</v>
      </c>
      <c r="BT14" s="41">
        <v>0</v>
      </c>
      <c r="BU14" s="41">
        <v>0</v>
      </c>
      <c r="BV14" s="41">
        <v>0</v>
      </c>
      <c r="BW14" s="43" t="s">
        <v>76</v>
      </c>
      <c r="BX14" s="43" t="s">
        <v>76</v>
      </c>
      <c r="BY14" s="11" t="s">
        <v>76</v>
      </c>
    </row>
    <row r="15" spans="1:77" x14ac:dyDescent="0.3">
      <c r="A15" s="4" t="s">
        <v>36</v>
      </c>
      <c r="B15" s="5" t="s">
        <v>154</v>
      </c>
      <c r="C15" s="39">
        <v>1</v>
      </c>
      <c r="D15" s="40" t="s">
        <v>76</v>
      </c>
      <c r="E15" s="12" t="s">
        <v>76</v>
      </c>
      <c r="F15" s="40" t="s">
        <v>76</v>
      </c>
      <c r="G15" s="12" t="str">
        <f t="shared" si="0"/>
        <v>-</v>
      </c>
      <c r="H15" s="34" t="s">
        <v>76</v>
      </c>
      <c r="I15" s="11" t="s">
        <v>76</v>
      </c>
      <c r="J15" s="34" t="s">
        <v>76</v>
      </c>
      <c r="K15" s="11" t="s">
        <v>76</v>
      </c>
      <c r="L15" s="10" t="s">
        <v>76</v>
      </c>
      <c r="M15" s="41" t="s">
        <v>76</v>
      </c>
      <c r="N15" s="41" t="s">
        <v>76</v>
      </c>
      <c r="O15" s="41" t="s">
        <v>76</v>
      </c>
      <c r="P15" s="41" t="s">
        <v>76</v>
      </c>
      <c r="Q15" s="41" t="s">
        <v>76</v>
      </c>
      <c r="R15" s="41" t="s">
        <v>76</v>
      </c>
      <c r="S15" s="41" t="s">
        <v>76</v>
      </c>
      <c r="T15" s="41" t="s">
        <v>76</v>
      </c>
      <c r="U15" s="12" t="s">
        <v>76</v>
      </c>
      <c r="V15" s="10" t="s">
        <v>76</v>
      </c>
      <c r="W15" s="41" t="s">
        <v>76</v>
      </c>
      <c r="X15" s="41" t="s">
        <v>76</v>
      </c>
      <c r="Y15" s="41" t="s">
        <v>76</v>
      </c>
      <c r="Z15" s="41" t="s">
        <v>76</v>
      </c>
      <c r="AA15" s="41" t="s">
        <v>76</v>
      </c>
      <c r="AB15" s="10" t="s">
        <v>76</v>
      </c>
      <c r="AC15" s="42" t="s">
        <v>76</v>
      </c>
      <c r="AD15" s="34" t="s">
        <v>76</v>
      </c>
      <c r="AE15" s="41" t="s">
        <v>76</v>
      </c>
      <c r="AF15" s="43" t="s">
        <v>76</v>
      </c>
      <c r="AG15" s="43" t="s">
        <v>76</v>
      </c>
      <c r="AH15" s="43" t="s">
        <v>76</v>
      </c>
      <c r="AI15" s="11" t="s">
        <v>76</v>
      </c>
      <c r="AJ15" s="34" t="s">
        <v>70</v>
      </c>
      <c r="AK15" s="43" t="s">
        <v>76</v>
      </c>
      <c r="AL15" s="34" t="s">
        <v>76</v>
      </c>
      <c r="AM15" s="43" t="s">
        <v>76</v>
      </c>
      <c r="AN15" s="43" t="s">
        <v>76</v>
      </c>
      <c r="AO15" s="43" t="s">
        <v>76</v>
      </c>
      <c r="AP15" s="43" t="s">
        <v>76</v>
      </c>
      <c r="AQ15" s="43" t="s">
        <v>76</v>
      </c>
      <c r="AR15" s="11" t="s">
        <v>76</v>
      </c>
      <c r="AS15" s="34" t="s">
        <v>76</v>
      </c>
      <c r="AT15" s="11" t="s">
        <v>76</v>
      </c>
      <c r="AU15" s="34" t="s">
        <v>76</v>
      </c>
      <c r="AV15" s="43" t="s">
        <v>76</v>
      </c>
      <c r="AW15" s="11" t="s">
        <v>76</v>
      </c>
      <c r="AX15" s="34" t="s">
        <v>76</v>
      </c>
      <c r="AY15" s="43" t="s">
        <v>76</v>
      </c>
      <c r="AZ15" s="10" t="s">
        <v>76</v>
      </c>
      <c r="BA15" s="41" t="s">
        <v>76</v>
      </c>
      <c r="BB15" s="41" t="s">
        <v>76</v>
      </c>
      <c r="BC15" s="41" t="s">
        <v>76</v>
      </c>
      <c r="BD15" s="11" t="s">
        <v>76</v>
      </c>
      <c r="BE15" s="34" t="s">
        <v>76</v>
      </c>
      <c r="BF15" s="43" t="s">
        <v>76</v>
      </c>
      <c r="BG15" s="34" t="s">
        <v>76</v>
      </c>
      <c r="BH15" s="41" t="s">
        <v>76</v>
      </c>
      <c r="BI15" s="43" t="s">
        <v>76</v>
      </c>
      <c r="BJ15" s="11" t="s">
        <v>76</v>
      </c>
      <c r="BK15" s="34" t="s">
        <v>76</v>
      </c>
      <c r="BL15" s="43" t="s">
        <v>76</v>
      </c>
      <c r="BM15" s="43" t="s">
        <v>76</v>
      </c>
      <c r="BN15" s="43" t="s">
        <v>76</v>
      </c>
      <c r="BO15" s="11" t="s">
        <v>76</v>
      </c>
      <c r="BP15" s="41" t="s">
        <v>76</v>
      </c>
      <c r="BQ15" s="41" t="s">
        <v>76</v>
      </c>
      <c r="BR15" s="41" t="s">
        <v>76</v>
      </c>
      <c r="BS15" s="41" t="s">
        <v>76</v>
      </c>
      <c r="BT15" s="41" t="s">
        <v>76</v>
      </c>
      <c r="BU15" s="41" t="s">
        <v>76</v>
      </c>
      <c r="BV15" s="41" t="s">
        <v>76</v>
      </c>
      <c r="BW15" s="43" t="s">
        <v>76</v>
      </c>
      <c r="BX15" s="43" t="s">
        <v>76</v>
      </c>
      <c r="BY15" s="11" t="s">
        <v>76</v>
      </c>
    </row>
    <row r="16" spans="1:77" x14ac:dyDescent="0.3">
      <c r="A16" s="4" t="s">
        <v>37</v>
      </c>
      <c r="B16" s="5" t="s">
        <v>155</v>
      </c>
      <c r="C16" s="39">
        <v>1</v>
      </c>
      <c r="D16" s="40">
        <v>25</v>
      </c>
      <c r="E16" s="12" t="s">
        <v>76</v>
      </c>
      <c r="F16" s="40">
        <v>0.55000000000000004</v>
      </c>
      <c r="G16" s="12" t="str">
        <f t="shared" si="0"/>
        <v>-</v>
      </c>
      <c r="H16" s="34" t="s">
        <v>2</v>
      </c>
      <c r="I16" s="11" t="s">
        <v>76</v>
      </c>
      <c r="J16" s="34" t="s">
        <v>76</v>
      </c>
      <c r="K16" s="11" t="s">
        <v>76</v>
      </c>
      <c r="L16" s="10">
        <v>1</v>
      </c>
      <c r="M16" s="41">
        <v>0</v>
      </c>
      <c r="N16" s="41">
        <v>0</v>
      </c>
      <c r="O16" s="41">
        <v>0</v>
      </c>
      <c r="P16" s="41">
        <v>0</v>
      </c>
      <c r="Q16" s="41">
        <v>0</v>
      </c>
      <c r="R16" s="41">
        <v>0</v>
      </c>
      <c r="S16" s="41">
        <v>0</v>
      </c>
      <c r="T16" s="41" t="s">
        <v>76</v>
      </c>
      <c r="U16" s="12" t="s">
        <v>76</v>
      </c>
      <c r="V16" s="10">
        <v>0</v>
      </c>
      <c r="W16" s="41">
        <v>1</v>
      </c>
      <c r="X16" s="41">
        <v>0</v>
      </c>
      <c r="Y16" s="41">
        <v>0</v>
      </c>
      <c r="Z16" s="41">
        <v>0</v>
      </c>
      <c r="AA16" s="41" t="s">
        <v>76</v>
      </c>
      <c r="AB16" s="10" t="s">
        <v>76</v>
      </c>
      <c r="AC16" s="42" t="s">
        <v>76</v>
      </c>
      <c r="AD16" s="34" t="s">
        <v>70</v>
      </c>
      <c r="AE16" s="41">
        <v>1</v>
      </c>
      <c r="AF16" s="43" t="s">
        <v>76</v>
      </c>
      <c r="AG16" s="43" t="s">
        <v>76</v>
      </c>
      <c r="AH16" s="43" t="s">
        <v>76</v>
      </c>
      <c r="AI16" s="11" t="s">
        <v>76</v>
      </c>
      <c r="AJ16" s="34" t="s">
        <v>2</v>
      </c>
      <c r="AK16" s="43" t="s">
        <v>76</v>
      </c>
      <c r="AL16" s="34">
        <v>0</v>
      </c>
      <c r="AM16" s="43">
        <v>1</v>
      </c>
      <c r="AN16" s="43">
        <v>0</v>
      </c>
      <c r="AO16" s="43">
        <v>0</v>
      </c>
      <c r="AP16" s="43">
        <v>0</v>
      </c>
      <c r="AQ16" s="43" t="s">
        <v>76</v>
      </c>
      <c r="AR16" s="11" t="s">
        <v>206</v>
      </c>
      <c r="AS16" s="34" t="s">
        <v>76</v>
      </c>
      <c r="AT16" s="11" t="s">
        <v>76</v>
      </c>
      <c r="AU16" s="34" t="s">
        <v>76</v>
      </c>
      <c r="AV16" s="43" t="s">
        <v>76</v>
      </c>
      <c r="AW16" s="11" t="s">
        <v>76</v>
      </c>
      <c r="AX16" s="34" t="s">
        <v>76</v>
      </c>
      <c r="AY16" s="43" t="s">
        <v>76</v>
      </c>
      <c r="AZ16" s="10">
        <v>1</v>
      </c>
      <c r="BA16" s="41">
        <v>0</v>
      </c>
      <c r="BB16" s="41">
        <v>1</v>
      </c>
      <c r="BC16" s="41" t="s">
        <v>76</v>
      </c>
      <c r="BD16" s="11" t="s">
        <v>76</v>
      </c>
      <c r="BE16" s="34" t="s">
        <v>76</v>
      </c>
      <c r="BF16" s="43" t="s">
        <v>76</v>
      </c>
      <c r="BG16" s="34" t="s">
        <v>76</v>
      </c>
      <c r="BH16" s="41" t="s">
        <v>76</v>
      </c>
      <c r="BI16" s="43" t="s">
        <v>76</v>
      </c>
      <c r="BJ16" s="11" t="s">
        <v>76</v>
      </c>
      <c r="BK16" s="34" t="s">
        <v>2</v>
      </c>
      <c r="BL16" s="43" t="s">
        <v>224</v>
      </c>
      <c r="BM16" s="43" t="s">
        <v>76</v>
      </c>
      <c r="BN16" s="43" t="s">
        <v>76</v>
      </c>
      <c r="BO16" s="11" t="s">
        <v>301</v>
      </c>
      <c r="BP16" s="41" t="s">
        <v>76</v>
      </c>
      <c r="BQ16" s="41" t="s">
        <v>76</v>
      </c>
      <c r="BR16" s="41" t="s">
        <v>76</v>
      </c>
      <c r="BS16" s="41" t="s">
        <v>76</v>
      </c>
      <c r="BT16" s="41" t="s">
        <v>76</v>
      </c>
      <c r="BU16" s="41" t="s">
        <v>76</v>
      </c>
      <c r="BV16" s="41" t="s">
        <v>76</v>
      </c>
      <c r="BW16" s="43" t="s">
        <v>76</v>
      </c>
      <c r="BX16" s="43" t="s">
        <v>76</v>
      </c>
      <c r="BY16" s="11" t="s">
        <v>76</v>
      </c>
    </row>
    <row r="17" spans="1:77" x14ac:dyDescent="0.3">
      <c r="A17" s="4" t="s">
        <v>38</v>
      </c>
      <c r="B17" s="5" t="s">
        <v>156</v>
      </c>
      <c r="C17" s="39">
        <v>1</v>
      </c>
      <c r="D17" s="40">
        <v>10</v>
      </c>
      <c r="E17" s="12" t="s">
        <v>76</v>
      </c>
      <c r="F17" s="40">
        <v>0.4</v>
      </c>
      <c r="G17" s="12" t="str">
        <f t="shared" si="0"/>
        <v>-</v>
      </c>
      <c r="H17" s="34" t="s">
        <v>2</v>
      </c>
      <c r="I17" s="11" t="s">
        <v>76</v>
      </c>
      <c r="J17" s="34" t="s">
        <v>248</v>
      </c>
      <c r="K17" s="11" t="s">
        <v>76</v>
      </c>
      <c r="L17" s="10">
        <v>1</v>
      </c>
      <c r="M17" s="41">
        <v>0</v>
      </c>
      <c r="N17" s="41">
        <v>0</v>
      </c>
      <c r="O17" s="41">
        <v>0</v>
      </c>
      <c r="P17" s="41">
        <v>0</v>
      </c>
      <c r="Q17" s="41">
        <v>0</v>
      </c>
      <c r="R17" s="41">
        <v>0</v>
      </c>
      <c r="S17" s="41">
        <v>0</v>
      </c>
      <c r="T17" s="41" t="s">
        <v>76</v>
      </c>
      <c r="U17" s="12" t="s">
        <v>76</v>
      </c>
      <c r="V17" s="10" t="s">
        <v>76</v>
      </c>
      <c r="W17" s="41" t="s">
        <v>76</v>
      </c>
      <c r="X17" s="41" t="s">
        <v>76</v>
      </c>
      <c r="Y17" s="41" t="s">
        <v>76</v>
      </c>
      <c r="Z17" s="41" t="s">
        <v>76</v>
      </c>
      <c r="AA17" s="41" t="s">
        <v>76</v>
      </c>
      <c r="AB17" s="10" t="s">
        <v>2</v>
      </c>
      <c r="AC17" s="42" t="s">
        <v>76</v>
      </c>
      <c r="AD17" s="34" t="s">
        <v>2</v>
      </c>
      <c r="AE17" s="41" t="s">
        <v>76</v>
      </c>
      <c r="AF17" s="43" t="s">
        <v>76</v>
      </c>
      <c r="AG17" s="43" t="s">
        <v>76</v>
      </c>
      <c r="AH17" s="43" t="s">
        <v>76</v>
      </c>
      <c r="AI17" s="11" t="s">
        <v>76</v>
      </c>
      <c r="AJ17" s="34" t="s">
        <v>2</v>
      </c>
      <c r="AK17" s="43" t="s">
        <v>76</v>
      </c>
      <c r="AL17" s="34" t="s">
        <v>76</v>
      </c>
      <c r="AM17" s="43" t="s">
        <v>76</v>
      </c>
      <c r="AN17" s="43" t="s">
        <v>76</v>
      </c>
      <c r="AO17" s="43" t="s">
        <v>76</v>
      </c>
      <c r="AP17" s="43" t="s">
        <v>76</v>
      </c>
      <c r="AQ17" s="43" t="s">
        <v>76</v>
      </c>
      <c r="AR17" s="11" t="s">
        <v>76</v>
      </c>
      <c r="AS17" s="34" t="s">
        <v>2</v>
      </c>
      <c r="AT17" s="11" t="s">
        <v>76</v>
      </c>
      <c r="AU17" s="34" t="s">
        <v>2</v>
      </c>
      <c r="AV17" s="43" t="s">
        <v>76</v>
      </c>
      <c r="AW17" s="11" t="s">
        <v>76</v>
      </c>
      <c r="AX17" s="34" t="s">
        <v>2</v>
      </c>
      <c r="AY17" s="43" t="s">
        <v>76</v>
      </c>
      <c r="AZ17" s="10" t="s">
        <v>76</v>
      </c>
      <c r="BA17" s="41" t="s">
        <v>76</v>
      </c>
      <c r="BB17" s="41" t="s">
        <v>76</v>
      </c>
      <c r="BC17" s="41" t="s">
        <v>76</v>
      </c>
      <c r="BD17" s="11" t="s">
        <v>76</v>
      </c>
      <c r="BE17" s="34" t="s">
        <v>2</v>
      </c>
      <c r="BF17" s="43" t="s">
        <v>76</v>
      </c>
      <c r="BG17" s="34" t="s">
        <v>2</v>
      </c>
      <c r="BH17" s="41" t="s">
        <v>76</v>
      </c>
      <c r="BI17" s="43" t="s">
        <v>76</v>
      </c>
      <c r="BJ17" s="11" t="s">
        <v>76</v>
      </c>
      <c r="BK17" s="34" t="s">
        <v>70</v>
      </c>
      <c r="BL17" s="43" t="s">
        <v>102</v>
      </c>
      <c r="BM17" s="43" t="s">
        <v>95</v>
      </c>
      <c r="BN17" s="43" t="s">
        <v>76</v>
      </c>
      <c r="BO17" s="11" t="s">
        <v>302</v>
      </c>
      <c r="BP17" s="41">
        <v>0</v>
      </c>
      <c r="BQ17" s="41">
        <v>0</v>
      </c>
      <c r="BR17" s="41">
        <v>1</v>
      </c>
      <c r="BS17" s="41">
        <v>0</v>
      </c>
      <c r="BT17" s="41">
        <v>0</v>
      </c>
      <c r="BU17" s="41">
        <v>0</v>
      </c>
      <c r="BV17" s="41">
        <v>1</v>
      </c>
      <c r="BW17" s="43" t="s">
        <v>219</v>
      </c>
      <c r="BX17" s="43" t="s">
        <v>76</v>
      </c>
      <c r="BY17" s="11" t="s">
        <v>76</v>
      </c>
    </row>
    <row r="18" spans="1:77" ht="14.4" customHeight="1" x14ac:dyDescent="0.3">
      <c r="A18" s="4" t="s">
        <v>39</v>
      </c>
      <c r="B18" s="5" t="s">
        <v>157</v>
      </c>
      <c r="C18" s="39">
        <v>1</v>
      </c>
      <c r="D18" s="40">
        <v>15</v>
      </c>
      <c r="E18" s="12" t="s">
        <v>76</v>
      </c>
      <c r="F18" s="40">
        <v>1.6</v>
      </c>
      <c r="G18" s="12" t="str">
        <f t="shared" si="0"/>
        <v>-</v>
      </c>
      <c r="H18" s="34" t="s">
        <v>2</v>
      </c>
      <c r="I18" s="11" t="s">
        <v>76</v>
      </c>
      <c r="J18" s="34" t="s">
        <v>248</v>
      </c>
      <c r="K18" s="11" t="s">
        <v>76</v>
      </c>
      <c r="L18" s="10">
        <v>1</v>
      </c>
      <c r="M18" s="41">
        <v>0</v>
      </c>
      <c r="N18" s="41">
        <v>0</v>
      </c>
      <c r="O18" s="41">
        <v>0</v>
      </c>
      <c r="P18" s="41">
        <v>0</v>
      </c>
      <c r="Q18" s="41">
        <v>0</v>
      </c>
      <c r="R18" s="41">
        <v>0</v>
      </c>
      <c r="S18" s="41">
        <v>0</v>
      </c>
      <c r="T18" s="41" t="s">
        <v>76</v>
      </c>
      <c r="U18" s="12" t="s">
        <v>76</v>
      </c>
      <c r="V18" s="10">
        <v>0</v>
      </c>
      <c r="W18" s="41">
        <v>1</v>
      </c>
      <c r="X18" s="41">
        <v>0</v>
      </c>
      <c r="Y18" s="41">
        <v>0</v>
      </c>
      <c r="Z18" s="41">
        <v>0</v>
      </c>
      <c r="AA18" s="41" t="s">
        <v>76</v>
      </c>
      <c r="AB18" s="10" t="s">
        <v>2</v>
      </c>
      <c r="AC18" s="42" t="s">
        <v>76</v>
      </c>
      <c r="AD18" s="34" t="s">
        <v>2</v>
      </c>
      <c r="AE18" s="41" t="s">
        <v>76</v>
      </c>
      <c r="AF18" s="43" t="s">
        <v>76</v>
      </c>
      <c r="AG18" s="43" t="s">
        <v>76</v>
      </c>
      <c r="AH18" s="43" t="s">
        <v>76</v>
      </c>
      <c r="AI18" s="11" t="s">
        <v>76</v>
      </c>
      <c r="AJ18" s="34" t="s">
        <v>2</v>
      </c>
      <c r="AK18" s="43" t="s">
        <v>76</v>
      </c>
      <c r="AL18" s="34">
        <v>0</v>
      </c>
      <c r="AM18" s="43">
        <v>1</v>
      </c>
      <c r="AN18" s="43">
        <v>0</v>
      </c>
      <c r="AO18" s="43">
        <v>0</v>
      </c>
      <c r="AP18" s="43">
        <v>0</v>
      </c>
      <c r="AQ18" s="43" t="s">
        <v>76</v>
      </c>
      <c r="AR18" s="11" t="s">
        <v>76</v>
      </c>
      <c r="AS18" s="34" t="s">
        <v>2</v>
      </c>
      <c r="AT18" s="11" t="s">
        <v>76</v>
      </c>
      <c r="AU18" s="34" t="s">
        <v>2</v>
      </c>
      <c r="AV18" s="43" t="s">
        <v>76</v>
      </c>
      <c r="AW18" s="11" t="s">
        <v>76</v>
      </c>
      <c r="AX18" s="34" t="s">
        <v>70</v>
      </c>
      <c r="AY18" s="43" t="s">
        <v>76</v>
      </c>
      <c r="AZ18" s="10" t="s">
        <v>76</v>
      </c>
      <c r="BA18" s="41" t="s">
        <v>76</v>
      </c>
      <c r="BB18" s="41" t="s">
        <v>76</v>
      </c>
      <c r="BC18" s="41" t="s">
        <v>76</v>
      </c>
      <c r="BD18" s="11" t="s">
        <v>76</v>
      </c>
      <c r="BE18" s="34" t="s">
        <v>2</v>
      </c>
      <c r="BF18" s="43" t="s">
        <v>76</v>
      </c>
      <c r="BG18" s="34" t="s">
        <v>70</v>
      </c>
      <c r="BH18" s="41">
        <v>50</v>
      </c>
      <c r="BI18" s="43" t="s">
        <v>76</v>
      </c>
      <c r="BJ18" s="11" t="s">
        <v>76</v>
      </c>
      <c r="BK18" s="34" t="s">
        <v>70</v>
      </c>
      <c r="BL18" s="43" t="s">
        <v>102</v>
      </c>
      <c r="BM18" s="43" t="s">
        <v>76</v>
      </c>
      <c r="BN18" s="43">
        <v>5</v>
      </c>
      <c r="BO18" s="11" t="s">
        <v>76</v>
      </c>
      <c r="BP18" s="41">
        <v>1</v>
      </c>
      <c r="BQ18" s="41">
        <v>0</v>
      </c>
      <c r="BR18" s="41">
        <v>0</v>
      </c>
      <c r="BS18" s="41">
        <v>0</v>
      </c>
      <c r="BT18" s="41">
        <v>0</v>
      </c>
      <c r="BU18" s="41">
        <v>0</v>
      </c>
      <c r="BV18" s="41">
        <v>0</v>
      </c>
      <c r="BW18" s="43" t="s">
        <v>76</v>
      </c>
      <c r="BX18" s="43" t="s">
        <v>76</v>
      </c>
      <c r="BY18" s="11" t="s">
        <v>76</v>
      </c>
    </row>
    <row r="19" spans="1:77" x14ac:dyDescent="0.3">
      <c r="A19" s="4" t="s">
        <v>40</v>
      </c>
      <c r="B19" s="5" t="s">
        <v>141</v>
      </c>
      <c r="C19" s="39">
        <v>1</v>
      </c>
      <c r="D19" s="40">
        <v>24</v>
      </c>
      <c r="E19" s="12" t="s">
        <v>76</v>
      </c>
      <c r="F19" s="40" t="s">
        <v>76</v>
      </c>
      <c r="G19" s="12" t="str">
        <f t="shared" si="0"/>
        <v>-</v>
      </c>
      <c r="H19" s="34" t="s">
        <v>2</v>
      </c>
      <c r="I19" s="11" t="s">
        <v>76</v>
      </c>
      <c r="J19" s="34" t="s">
        <v>248</v>
      </c>
      <c r="K19" s="11" t="s">
        <v>76</v>
      </c>
      <c r="L19" s="10">
        <v>1</v>
      </c>
      <c r="M19" s="41">
        <v>0</v>
      </c>
      <c r="N19" s="41">
        <v>0</v>
      </c>
      <c r="O19" s="41">
        <v>0</v>
      </c>
      <c r="P19" s="41">
        <v>0</v>
      </c>
      <c r="Q19" s="41">
        <v>0</v>
      </c>
      <c r="R19" s="41">
        <v>0</v>
      </c>
      <c r="S19" s="41">
        <v>0</v>
      </c>
      <c r="T19" s="41" t="s">
        <v>76</v>
      </c>
      <c r="U19" s="12" t="s">
        <v>76</v>
      </c>
      <c r="V19" s="10">
        <v>0</v>
      </c>
      <c r="W19" s="41">
        <v>1</v>
      </c>
      <c r="X19" s="41">
        <v>0</v>
      </c>
      <c r="Y19" s="41">
        <v>0</v>
      </c>
      <c r="Z19" s="41">
        <v>0</v>
      </c>
      <c r="AA19" s="41" t="s">
        <v>76</v>
      </c>
      <c r="AB19" s="10" t="s">
        <v>2</v>
      </c>
      <c r="AC19" s="42" t="s">
        <v>76</v>
      </c>
      <c r="AD19" s="34" t="s">
        <v>70</v>
      </c>
      <c r="AE19" s="41">
        <v>1</v>
      </c>
      <c r="AF19" s="43" t="s">
        <v>76</v>
      </c>
      <c r="AG19" s="43" t="s">
        <v>76</v>
      </c>
      <c r="AH19" s="43" t="s">
        <v>76</v>
      </c>
      <c r="AI19" s="11" t="s">
        <v>76</v>
      </c>
      <c r="AJ19" s="34" t="s">
        <v>2</v>
      </c>
      <c r="AK19" s="43" t="s">
        <v>76</v>
      </c>
      <c r="AL19" s="34" t="s">
        <v>76</v>
      </c>
      <c r="AM19" s="43" t="s">
        <v>76</v>
      </c>
      <c r="AN19" s="43" t="s">
        <v>76</v>
      </c>
      <c r="AO19" s="43" t="s">
        <v>76</v>
      </c>
      <c r="AP19" s="43" t="s">
        <v>76</v>
      </c>
      <c r="AQ19" s="43" t="s">
        <v>76</v>
      </c>
      <c r="AR19" s="11" t="s">
        <v>76</v>
      </c>
      <c r="AS19" s="34" t="s">
        <v>2</v>
      </c>
      <c r="AT19" s="11" t="s">
        <v>76</v>
      </c>
      <c r="AU19" s="34" t="s">
        <v>2</v>
      </c>
      <c r="AV19" s="43" t="s">
        <v>76</v>
      </c>
      <c r="AW19" s="11" t="s">
        <v>76</v>
      </c>
      <c r="AX19" s="34" t="s">
        <v>2</v>
      </c>
      <c r="AY19" s="43" t="s">
        <v>76</v>
      </c>
      <c r="AZ19" s="10" t="s">
        <v>76</v>
      </c>
      <c r="BA19" s="41" t="s">
        <v>76</v>
      </c>
      <c r="BB19" s="41" t="s">
        <v>76</v>
      </c>
      <c r="BC19" s="41" t="s">
        <v>76</v>
      </c>
      <c r="BD19" s="11" t="s">
        <v>76</v>
      </c>
      <c r="BE19" s="34" t="s">
        <v>2</v>
      </c>
      <c r="BF19" s="43" t="s">
        <v>76</v>
      </c>
      <c r="BG19" s="34" t="s">
        <v>2</v>
      </c>
      <c r="BH19" s="41" t="s">
        <v>76</v>
      </c>
      <c r="BI19" s="43" t="s">
        <v>76</v>
      </c>
      <c r="BJ19" s="11" t="s">
        <v>76</v>
      </c>
      <c r="BK19" s="34" t="s">
        <v>2</v>
      </c>
      <c r="BL19" s="43" t="s">
        <v>76</v>
      </c>
      <c r="BM19" s="43" t="s">
        <v>76</v>
      </c>
      <c r="BN19" s="43" t="s">
        <v>76</v>
      </c>
      <c r="BO19" s="11" t="s">
        <v>76</v>
      </c>
      <c r="BP19" s="41">
        <v>1</v>
      </c>
      <c r="BQ19" s="41">
        <v>0</v>
      </c>
      <c r="BR19" s="41">
        <v>0</v>
      </c>
      <c r="BS19" s="41">
        <v>0</v>
      </c>
      <c r="BT19" s="41">
        <v>0</v>
      </c>
      <c r="BU19" s="41">
        <v>0</v>
      </c>
      <c r="BV19" s="41">
        <v>0</v>
      </c>
      <c r="BW19" s="43" t="s">
        <v>76</v>
      </c>
      <c r="BX19" s="43" t="s">
        <v>76</v>
      </c>
      <c r="BY19" s="11" t="s">
        <v>76</v>
      </c>
    </row>
    <row r="20" spans="1:77" x14ac:dyDescent="0.3">
      <c r="A20" s="4" t="s">
        <v>42</v>
      </c>
      <c r="B20" s="5" t="s">
        <v>158</v>
      </c>
      <c r="C20" s="39">
        <v>1</v>
      </c>
      <c r="D20" s="40" t="s">
        <v>76</v>
      </c>
      <c r="E20" s="12" t="s">
        <v>76</v>
      </c>
      <c r="F20" s="40">
        <v>0.8</v>
      </c>
      <c r="G20" s="12" t="s">
        <v>76</v>
      </c>
      <c r="H20" s="34" t="s">
        <v>2</v>
      </c>
      <c r="I20" s="11" t="s">
        <v>76</v>
      </c>
      <c r="J20" s="34" t="s">
        <v>249</v>
      </c>
      <c r="K20" s="11" t="s">
        <v>76</v>
      </c>
      <c r="L20" s="10">
        <v>1</v>
      </c>
      <c r="M20" s="41">
        <v>0</v>
      </c>
      <c r="N20" s="41">
        <v>0</v>
      </c>
      <c r="O20" s="41">
        <v>0</v>
      </c>
      <c r="P20" s="41">
        <v>0</v>
      </c>
      <c r="Q20" s="41">
        <v>0</v>
      </c>
      <c r="R20" s="41">
        <v>0</v>
      </c>
      <c r="S20" s="41">
        <v>0</v>
      </c>
      <c r="T20" s="41" t="s">
        <v>76</v>
      </c>
      <c r="U20" s="12" t="s">
        <v>76</v>
      </c>
      <c r="V20" s="10">
        <v>0</v>
      </c>
      <c r="W20" s="41">
        <v>1</v>
      </c>
      <c r="X20" s="41">
        <v>0</v>
      </c>
      <c r="Y20" s="41">
        <v>0</v>
      </c>
      <c r="Z20" s="41">
        <v>0</v>
      </c>
      <c r="AA20" s="41" t="s">
        <v>76</v>
      </c>
      <c r="AB20" s="10" t="s">
        <v>2</v>
      </c>
      <c r="AC20" s="42" t="s">
        <v>76</v>
      </c>
      <c r="AD20" s="34" t="s">
        <v>2</v>
      </c>
      <c r="AE20" s="41" t="s">
        <v>76</v>
      </c>
      <c r="AF20" s="43" t="s">
        <v>76</v>
      </c>
      <c r="AG20" s="43" t="s">
        <v>76</v>
      </c>
      <c r="AH20" s="43" t="s">
        <v>76</v>
      </c>
      <c r="AI20" s="11" t="s">
        <v>76</v>
      </c>
      <c r="AJ20" s="34" t="s">
        <v>2</v>
      </c>
      <c r="AK20" s="43" t="s">
        <v>76</v>
      </c>
      <c r="AL20" s="34" t="s">
        <v>76</v>
      </c>
      <c r="AM20" s="43" t="s">
        <v>76</v>
      </c>
      <c r="AN20" s="43" t="s">
        <v>76</v>
      </c>
      <c r="AO20" s="43" t="s">
        <v>76</v>
      </c>
      <c r="AP20" s="43" t="s">
        <v>76</v>
      </c>
      <c r="AQ20" s="43" t="s">
        <v>76</v>
      </c>
      <c r="AR20" s="11" t="s">
        <v>76</v>
      </c>
      <c r="AS20" s="34" t="s">
        <v>2</v>
      </c>
      <c r="AT20" s="11" t="s">
        <v>76</v>
      </c>
      <c r="AU20" s="34" t="s">
        <v>2</v>
      </c>
      <c r="AV20" s="43" t="s">
        <v>76</v>
      </c>
      <c r="AW20" s="11" t="s">
        <v>76</v>
      </c>
      <c r="AX20" s="34" t="s">
        <v>2</v>
      </c>
      <c r="AY20" s="43" t="s">
        <v>76</v>
      </c>
      <c r="AZ20" s="10" t="s">
        <v>76</v>
      </c>
      <c r="BA20" s="41" t="s">
        <v>76</v>
      </c>
      <c r="BB20" s="41" t="s">
        <v>76</v>
      </c>
      <c r="BC20" s="41" t="s">
        <v>76</v>
      </c>
      <c r="BD20" s="11" t="s">
        <v>289</v>
      </c>
      <c r="BE20" s="34" t="s">
        <v>76</v>
      </c>
      <c r="BF20" s="43" t="s">
        <v>76</v>
      </c>
      <c r="BG20" s="34" t="s">
        <v>76</v>
      </c>
      <c r="BH20" s="41" t="s">
        <v>76</v>
      </c>
      <c r="BI20" s="43" t="s">
        <v>76</v>
      </c>
      <c r="BJ20" s="11" t="s">
        <v>76</v>
      </c>
      <c r="BK20" s="34" t="s">
        <v>76</v>
      </c>
      <c r="BL20" s="43" t="s">
        <v>76</v>
      </c>
      <c r="BM20" s="43" t="s">
        <v>76</v>
      </c>
      <c r="BN20" s="43" t="s">
        <v>76</v>
      </c>
      <c r="BO20" s="11" t="s">
        <v>76</v>
      </c>
      <c r="BP20" s="41">
        <v>1</v>
      </c>
      <c r="BQ20" s="41">
        <v>0</v>
      </c>
      <c r="BR20" s="41">
        <v>0</v>
      </c>
      <c r="BS20" s="41">
        <v>0</v>
      </c>
      <c r="BT20" s="41">
        <v>0</v>
      </c>
      <c r="BU20" s="41">
        <v>0</v>
      </c>
      <c r="BV20" s="41">
        <v>0</v>
      </c>
      <c r="BW20" s="43" t="s">
        <v>76</v>
      </c>
      <c r="BX20" s="43" t="s">
        <v>76</v>
      </c>
      <c r="BY20" s="11" t="s">
        <v>76</v>
      </c>
    </row>
    <row r="21" spans="1:77" x14ac:dyDescent="0.3">
      <c r="A21" s="4" t="s">
        <v>43</v>
      </c>
      <c r="B21" s="5" t="s">
        <v>159</v>
      </c>
      <c r="C21" s="39">
        <v>1</v>
      </c>
      <c r="D21" s="40" t="s">
        <v>76</v>
      </c>
      <c r="E21" s="12" t="s">
        <v>76</v>
      </c>
      <c r="F21" s="40" t="s">
        <v>76</v>
      </c>
      <c r="G21" s="12" t="s">
        <v>270</v>
      </c>
      <c r="H21" s="34" t="s">
        <v>2</v>
      </c>
      <c r="I21" s="11" t="s">
        <v>76</v>
      </c>
      <c r="J21" s="34" t="s">
        <v>248</v>
      </c>
      <c r="K21" s="11" t="s">
        <v>76</v>
      </c>
      <c r="L21" s="10">
        <v>0</v>
      </c>
      <c r="M21" s="41">
        <v>0</v>
      </c>
      <c r="N21" s="41">
        <v>0</v>
      </c>
      <c r="O21" s="41">
        <v>1</v>
      </c>
      <c r="P21" s="41">
        <v>0</v>
      </c>
      <c r="Q21" s="41">
        <v>0</v>
      </c>
      <c r="R21" s="41">
        <v>0</v>
      </c>
      <c r="S21" s="41">
        <v>0</v>
      </c>
      <c r="T21" s="41" t="s">
        <v>76</v>
      </c>
      <c r="U21" s="12" t="s">
        <v>76</v>
      </c>
      <c r="V21" s="10">
        <v>0</v>
      </c>
      <c r="W21" s="41">
        <v>1</v>
      </c>
      <c r="X21" s="41">
        <v>0</v>
      </c>
      <c r="Y21" s="41">
        <v>0</v>
      </c>
      <c r="Z21" s="41">
        <v>0</v>
      </c>
      <c r="AA21" s="41" t="s">
        <v>76</v>
      </c>
      <c r="AB21" s="10" t="s">
        <v>70</v>
      </c>
      <c r="AC21" s="42" t="s">
        <v>76</v>
      </c>
      <c r="AD21" s="34" t="s">
        <v>2</v>
      </c>
      <c r="AE21" s="41" t="s">
        <v>76</v>
      </c>
      <c r="AF21" s="43" t="s">
        <v>76</v>
      </c>
      <c r="AG21" s="43" t="s">
        <v>76</v>
      </c>
      <c r="AH21" s="43" t="s">
        <v>76</v>
      </c>
      <c r="AI21" s="11" t="s">
        <v>76</v>
      </c>
      <c r="AJ21" s="34" t="s">
        <v>76</v>
      </c>
      <c r="AK21" s="43" t="s">
        <v>76</v>
      </c>
      <c r="AL21" s="34" t="s">
        <v>76</v>
      </c>
      <c r="AM21" s="43" t="s">
        <v>76</v>
      </c>
      <c r="AN21" s="43" t="s">
        <v>76</v>
      </c>
      <c r="AO21" s="43" t="s">
        <v>76</v>
      </c>
      <c r="AP21" s="43" t="s">
        <v>76</v>
      </c>
      <c r="AQ21" s="43" t="s">
        <v>76</v>
      </c>
      <c r="AR21" s="11" t="s">
        <v>76</v>
      </c>
      <c r="AS21" s="34" t="s">
        <v>70</v>
      </c>
      <c r="AT21" s="11" t="s">
        <v>279</v>
      </c>
      <c r="AU21" s="34" t="s">
        <v>70</v>
      </c>
      <c r="AV21" s="43" t="s">
        <v>76</v>
      </c>
      <c r="AW21" s="11" t="s">
        <v>283</v>
      </c>
      <c r="AX21" s="34" t="s">
        <v>2</v>
      </c>
      <c r="AY21" s="43" t="s">
        <v>76</v>
      </c>
      <c r="AZ21" s="10" t="s">
        <v>76</v>
      </c>
      <c r="BA21" s="41" t="s">
        <v>76</v>
      </c>
      <c r="BB21" s="41" t="s">
        <v>76</v>
      </c>
      <c r="BC21" s="41" t="s">
        <v>76</v>
      </c>
      <c r="BD21" s="11" t="s">
        <v>76</v>
      </c>
      <c r="BE21" s="34" t="s">
        <v>76</v>
      </c>
      <c r="BF21" s="43" t="s">
        <v>76</v>
      </c>
      <c r="BG21" s="34" t="s">
        <v>76</v>
      </c>
      <c r="BH21" s="41" t="s">
        <v>76</v>
      </c>
      <c r="BI21" s="43" t="s">
        <v>76</v>
      </c>
      <c r="BJ21" s="11" t="s">
        <v>76</v>
      </c>
      <c r="BK21" s="34" t="s">
        <v>76</v>
      </c>
      <c r="BL21" s="43" t="s">
        <v>102</v>
      </c>
      <c r="BM21" s="43" t="s">
        <v>76</v>
      </c>
      <c r="BN21" s="43" t="s">
        <v>76</v>
      </c>
      <c r="BO21" s="11" t="s">
        <v>221</v>
      </c>
      <c r="BP21" s="41">
        <v>1</v>
      </c>
      <c r="BQ21" s="41">
        <v>0</v>
      </c>
      <c r="BR21" s="41">
        <v>0</v>
      </c>
      <c r="BS21" s="41">
        <v>0</v>
      </c>
      <c r="BT21" s="41">
        <v>0</v>
      </c>
      <c r="BU21" s="41">
        <v>0</v>
      </c>
      <c r="BV21" s="41">
        <v>0</v>
      </c>
      <c r="BW21" s="43" t="s">
        <v>76</v>
      </c>
      <c r="BX21" s="43" t="s">
        <v>76</v>
      </c>
      <c r="BY21" s="11" t="s">
        <v>76</v>
      </c>
    </row>
    <row r="22" spans="1:77" x14ac:dyDescent="0.3">
      <c r="A22" s="4" t="s">
        <v>45</v>
      </c>
      <c r="B22" s="5" t="s">
        <v>161</v>
      </c>
      <c r="C22" s="39">
        <v>1</v>
      </c>
      <c r="D22" s="40" t="s">
        <v>76</v>
      </c>
      <c r="E22" s="12" t="s">
        <v>76</v>
      </c>
      <c r="F22" s="40" t="s">
        <v>76</v>
      </c>
      <c r="G22" s="12" t="s">
        <v>76</v>
      </c>
      <c r="H22" s="34" t="s">
        <v>2</v>
      </c>
      <c r="I22" s="11" t="s">
        <v>76</v>
      </c>
      <c r="J22" s="34" t="s">
        <v>249</v>
      </c>
      <c r="K22" s="11" t="s">
        <v>76</v>
      </c>
      <c r="L22" s="10">
        <v>0</v>
      </c>
      <c r="M22" s="41">
        <v>0</v>
      </c>
      <c r="N22" s="41">
        <v>0</v>
      </c>
      <c r="O22" s="41">
        <v>1</v>
      </c>
      <c r="P22" s="41">
        <v>0</v>
      </c>
      <c r="Q22" s="41">
        <v>0</v>
      </c>
      <c r="R22" s="41">
        <v>0</v>
      </c>
      <c r="S22" s="41">
        <v>0</v>
      </c>
      <c r="T22" s="41" t="s">
        <v>76</v>
      </c>
      <c r="U22" s="12" t="s">
        <v>76</v>
      </c>
      <c r="V22" s="10">
        <v>0</v>
      </c>
      <c r="W22" s="41">
        <v>1</v>
      </c>
      <c r="X22" s="41">
        <v>0</v>
      </c>
      <c r="Y22" s="41">
        <v>0</v>
      </c>
      <c r="Z22" s="41">
        <v>0</v>
      </c>
      <c r="AA22" s="41" t="s">
        <v>76</v>
      </c>
      <c r="AB22" s="10" t="s">
        <v>2</v>
      </c>
      <c r="AC22" s="42" t="s">
        <v>76</v>
      </c>
      <c r="AD22" s="34" t="s">
        <v>2</v>
      </c>
      <c r="AE22" s="41" t="s">
        <v>76</v>
      </c>
      <c r="AF22" s="43" t="s">
        <v>76</v>
      </c>
      <c r="AG22" s="43" t="s">
        <v>76</v>
      </c>
      <c r="AH22" s="43" t="s">
        <v>76</v>
      </c>
      <c r="AI22" s="11" t="s">
        <v>76</v>
      </c>
      <c r="AJ22" s="34" t="s">
        <v>2</v>
      </c>
      <c r="AK22" s="43" t="s">
        <v>76</v>
      </c>
      <c r="AL22" s="34" t="s">
        <v>76</v>
      </c>
      <c r="AM22" s="43" t="s">
        <v>76</v>
      </c>
      <c r="AN22" s="43" t="s">
        <v>76</v>
      </c>
      <c r="AO22" s="43" t="s">
        <v>76</v>
      </c>
      <c r="AP22" s="43" t="s">
        <v>76</v>
      </c>
      <c r="AQ22" s="43" t="s">
        <v>76</v>
      </c>
      <c r="AR22" s="11" t="s">
        <v>76</v>
      </c>
      <c r="AS22" s="34" t="s">
        <v>2</v>
      </c>
      <c r="AT22" s="11" t="s">
        <v>76</v>
      </c>
      <c r="AU22" s="34" t="s">
        <v>2</v>
      </c>
      <c r="AV22" s="43" t="s">
        <v>76</v>
      </c>
      <c r="AW22" s="11" t="s">
        <v>76</v>
      </c>
      <c r="AX22" s="34" t="s">
        <v>2</v>
      </c>
      <c r="AY22" s="43" t="s">
        <v>76</v>
      </c>
      <c r="AZ22" s="10">
        <v>1</v>
      </c>
      <c r="BA22" s="41">
        <v>0</v>
      </c>
      <c r="BB22" s="41">
        <v>2</v>
      </c>
      <c r="BC22" s="41" t="s">
        <v>76</v>
      </c>
      <c r="BD22" s="11" t="s">
        <v>76</v>
      </c>
      <c r="BE22" s="34" t="s">
        <v>76</v>
      </c>
      <c r="BF22" s="43" t="s">
        <v>76</v>
      </c>
      <c r="BG22" s="34" t="s">
        <v>76</v>
      </c>
      <c r="BH22" s="41" t="s">
        <v>76</v>
      </c>
      <c r="BI22" s="43" t="s">
        <v>76</v>
      </c>
      <c r="BJ22" s="11" t="s">
        <v>76</v>
      </c>
      <c r="BK22" s="34" t="s">
        <v>76</v>
      </c>
      <c r="BL22" s="43" t="s">
        <v>76</v>
      </c>
      <c r="BM22" s="43" t="s">
        <v>76</v>
      </c>
      <c r="BN22" s="43" t="s">
        <v>76</v>
      </c>
      <c r="BO22" s="11" t="s">
        <v>76</v>
      </c>
      <c r="BP22" s="41">
        <v>0</v>
      </c>
      <c r="BQ22" s="41">
        <v>0</v>
      </c>
      <c r="BR22" s="41">
        <v>0</v>
      </c>
      <c r="BS22" s="41">
        <v>0</v>
      </c>
      <c r="BT22" s="41">
        <v>0</v>
      </c>
      <c r="BU22" s="41">
        <v>0</v>
      </c>
      <c r="BV22" s="41">
        <v>1</v>
      </c>
      <c r="BW22" s="43" t="s">
        <v>76</v>
      </c>
      <c r="BX22" s="43" t="s">
        <v>76</v>
      </c>
      <c r="BY22" s="11" t="s">
        <v>218</v>
      </c>
    </row>
    <row r="23" spans="1:77" x14ac:dyDescent="0.3">
      <c r="A23" s="4" t="s">
        <v>46</v>
      </c>
      <c r="B23" s="5" t="s">
        <v>162</v>
      </c>
      <c r="C23" s="39">
        <v>1</v>
      </c>
      <c r="D23" s="40">
        <v>20</v>
      </c>
      <c r="E23" s="12" t="s">
        <v>76</v>
      </c>
      <c r="F23" s="40">
        <v>0.75</v>
      </c>
      <c r="G23" s="12" t="s">
        <v>76</v>
      </c>
      <c r="H23" s="34" t="s">
        <v>2</v>
      </c>
      <c r="I23" s="11" t="s">
        <v>76</v>
      </c>
      <c r="J23" s="34" t="s">
        <v>76</v>
      </c>
      <c r="K23" s="11" t="s">
        <v>76</v>
      </c>
      <c r="L23" s="10" t="s">
        <v>76</v>
      </c>
      <c r="M23" s="41" t="s">
        <v>76</v>
      </c>
      <c r="N23" s="41" t="s">
        <v>76</v>
      </c>
      <c r="O23" s="41" t="s">
        <v>76</v>
      </c>
      <c r="P23" s="41" t="s">
        <v>76</v>
      </c>
      <c r="Q23" s="41" t="s">
        <v>76</v>
      </c>
      <c r="R23" s="41" t="s">
        <v>76</v>
      </c>
      <c r="S23" s="41" t="s">
        <v>76</v>
      </c>
      <c r="T23" s="41" t="s">
        <v>76</v>
      </c>
      <c r="U23" s="12" t="s">
        <v>76</v>
      </c>
      <c r="V23" s="10">
        <v>0</v>
      </c>
      <c r="W23" s="41">
        <v>1</v>
      </c>
      <c r="X23" s="41">
        <v>0</v>
      </c>
      <c r="Y23" s="41">
        <v>0</v>
      </c>
      <c r="Z23" s="41">
        <v>0</v>
      </c>
      <c r="AA23" s="41" t="s">
        <v>76</v>
      </c>
      <c r="AB23" s="10" t="s">
        <v>70</v>
      </c>
      <c r="AC23" s="42" t="s">
        <v>76</v>
      </c>
      <c r="AD23" s="34" t="s">
        <v>70</v>
      </c>
      <c r="AE23" s="41">
        <v>1</v>
      </c>
      <c r="AF23" s="43" t="s">
        <v>76</v>
      </c>
      <c r="AG23" s="43" t="s">
        <v>76</v>
      </c>
      <c r="AH23" s="43" t="s">
        <v>76</v>
      </c>
      <c r="AI23" s="11" t="s">
        <v>76</v>
      </c>
      <c r="AJ23" s="34" t="s">
        <v>76</v>
      </c>
      <c r="AK23" s="43" t="s">
        <v>76</v>
      </c>
      <c r="AL23" s="34">
        <v>0</v>
      </c>
      <c r="AM23" s="43">
        <v>1</v>
      </c>
      <c r="AN23" s="43">
        <v>0</v>
      </c>
      <c r="AO23" s="43">
        <v>0</v>
      </c>
      <c r="AP23" s="43">
        <v>0</v>
      </c>
      <c r="AQ23" s="43" t="s">
        <v>76</v>
      </c>
      <c r="AR23" s="11" t="s">
        <v>76</v>
      </c>
      <c r="AS23" s="34" t="s">
        <v>76</v>
      </c>
      <c r="AT23" s="11" t="s">
        <v>76</v>
      </c>
      <c r="AU23" s="34" t="s">
        <v>70</v>
      </c>
      <c r="AV23" s="43" t="s">
        <v>211</v>
      </c>
      <c r="AW23" s="11" t="s">
        <v>76</v>
      </c>
      <c r="AX23" s="34" t="s">
        <v>2</v>
      </c>
      <c r="AY23" s="43" t="s">
        <v>76</v>
      </c>
      <c r="AZ23" s="10" t="s">
        <v>76</v>
      </c>
      <c r="BA23" s="41" t="s">
        <v>76</v>
      </c>
      <c r="BB23" s="41" t="s">
        <v>76</v>
      </c>
      <c r="BC23" s="41" t="s">
        <v>76</v>
      </c>
      <c r="BD23" s="11" t="s">
        <v>76</v>
      </c>
      <c r="BE23" s="34" t="s">
        <v>76</v>
      </c>
      <c r="BF23" s="43" t="s">
        <v>76</v>
      </c>
      <c r="BG23" s="34" t="s">
        <v>76</v>
      </c>
      <c r="BH23" s="41" t="s">
        <v>76</v>
      </c>
      <c r="BI23" s="43" t="s">
        <v>76</v>
      </c>
      <c r="BJ23" s="11" t="s">
        <v>76</v>
      </c>
      <c r="BK23" s="34" t="s">
        <v>76</v>
      </c>
      <c r="BL23" s="43" t="s">
        <v>76</v>
      </c>
      <c r="BM23" s="43" t="s">
        <v>76</v>
      </c>
      <c r="BN23" s="43" t="s">
        <v>76</v>
      </c>
      <c r="BO23" s="11" t="s">
        <v>76</v>
      </c>
      <c r="BP23" s="41" t="s">
        <v>76</v>
      </c>
      <c r="BQ23" s="41" t="s">
        <v>76</v>
      </c>
      <c r="BR23" s="41" t="s">
        <v>76</v>
      </c>
      <c r="BS23" s="41" t="s">
        <v>76</v>
      </c>
      <c r="BT23" s="41" t="s">
        <v>76</v>
      </c>
      <c r="BU23" s="41" t="s">
        <v>76</v>
      </c>
      <c r="BV23" s="41" t="s">
        <v>76</v>
      </c>
      <c r="BW23" s="43" t="s">
        <v>76</v>
      </c>
      <c r="BX23" s="43" t="s">
        <v>76</v>
      </c>
      <c r="BY23" s="11" t="s">
        <v>76</v>
      </c>
    </row>
    <row r="24" spans="1:77" x14ac:dyDescent="0.3">
      <c r="A24" s="4" t="s">
        <v>47</v>
      </c>
      <c r="B24" s="5" t="s">
        <v>163</v>
      </c>
      <c r="C24" s="39">
        <v>1</v>
      </c>
      <c r="D24" s="40">
        <v>20</v>
      </c>
      <c r="E24" s="12" t="s">
        <v>76</v>
      </c>
      <c r="F24" s="40">
        <v>0.8</v>
      </c>
      <c r="G24" s="12" t="s">
        <v>76</v>
      </c>
      <c r="H24" s="34" t="s">
        <v>2</v>
      </c>
      <c r="I24" s="11" t="s">
        <v>76</v>
      </c>
      <c r="J24" s="34" t="s">
        <v>248</v>
      </c>
      <c r="K24" s="11" t="s">
        <v>76</v>
      </c>
      <c r="L24" s="10">
        <v>1</v>
      </c>
      <c r="M24" s="41">
        <v>0</v>
      </c>
      <c r="N24" s="41">
        <v>0</v>
      </c>
      <c r="O24" s="41">
        <v>0</v>
      </c>
      <c r="P24" s="41">
        <v>0</v>
      </c>
      <c r="Q24" s="41">
        <v>0</v>
      </c>
      <c r="R24" s="41">
        <v>0</v>
      </c>
      <c r="S24" s="41">
        <v>0</v>
      </c>
      <c r="T24" s="41" t="s">
        <v>76</v>
      </c>
      <c r="U24" s="12" t="s">
        <v>76</v>
      </c>
      <c r="V24" s="10">
        <v>0</v>
      </c>
      <c r="W24" s="41">
        <v>1</v>
      </c>
      <c r="X24" s="41">
        <v>0</v>
      </c>
      <c r="Y24" s="41">
        <v>0</v>
      </c>
      <c r="Z24" s="41">
        <v>0</v>
      </c>
      <c r="AA24" s="41" t="s">
        <v>76</v>
      </c>
      <c r="AB24" s="10" t="s">
        <v>70</v>
      </c>
      <c r="AC24" s="42" t="s">
        <v>76</v>
      </c>
      <c r="AD24" s="34" t="s">
        <v>70</v>
      </c>
      <c r="AE24" s="41">
        <v>1</v>
      </c>
      <c r="AF24" s="43" t="s">
        <v>76</v>
      </c>
      <c r="AG24" s="43" t="s">
        <v>76</v>
      </c>
      <c r="AH24" s="43" t="s">
        <v>76</v>
      </c>
      <c r="AI24" s="11" t="s">
        <v>76</v>
      </c>
      <c r="AJ24" s="34" t="s">
        <v>2</v>
      </c>
      <c r="AK24" s="43" t="s">
        <v>76</v>
      </c>
      <c r="AL24" s="34">
        <v>0</v>
      </c>
      <c r="AM24" s="43">
        <v>1</v>
      </c>
      <c r="AN24" s="43">
        <v>0</v>
      </c>
      <c r="AO24" s="43">
        <v>0</v>
      </c>
      <c r="AP24" s="43">
        <v>0</v>
      </c>
      <c r="AQ24" s="43" t="s">
        <v>76</v>
      </c>
      <c r="AR24" s="11" t="s">
        <v>76</v>
      </c>
      <c r="AS24" s="34" t="s">
        <v>70</v>
      </c>
      <c r="AT24" s="11" t="s">
        <v>76</v>
      </c>
      <c r="AU24" s="34" t="s">
        <v>70</v>
      </c>
      <c r="AV24" s="43" t="s">
        <v>76</v>
      </c>
      <c r="AW24" s="11" t="s">
        <v>76</v>
      </c>
      <c r="AX24" s="34" t="s">
        <v>2</v>
      </c>
      <c r="AY24" s="43" t="s">
        <v>76</v>
      </c>
      <c r="AZ24" s="10">
        <v>1</v>
      </c>
      <c r="BA24" s="41">
        <v>0</v>
      </c>
      <c r="BB24" s="41">
        <v>1</v>
      </c>
      <c r="BC24" s="41" t="s">
        <v>76</v>
      </c>
      <c r="BD24" s="11" t="s">
        <v>76</v>
      </c>
      <c r="BE24" s="34" t="s">
        <v>76</v>
      </c>
      <c r="BF24" s="43" t="s">
        <v>76</v>
      </c>
      <c r="BG24" s="34" t="s">
        <v>76</v>
      </c>
      <c r="BH24" s="41" t="s">
        <v>76</v>
      </c>
      <c r="BI24" s="43" t="s">
        <v>76</v>
      </c>
      <c r="BJ24" s="11" t="s">
        <v>76</v>
      </c>
      <c r="BK24" s="34" t="s">
        <v>76</v>
      </c>
      <c r="BL24" s="43" t="s">
        <v>102</v>
      </c>
      <c r="BM24" s="43" t="s">
        <v>94</v>
      </c>
      <c r="BN24" s="43" t="s">
        <v>76</v>
      </c>
      <c r="BO24" s="11" t="s">
        <v>76</v>
      </c>
      <c r="BP24" s="41">
        <v>0</v>
      </c>
      <c r="BQ24" s="41">
        <v>0</v>
      </c>
      <c r="BR24" s="41">
        <v>0</v>
      </c>
      <c r="BS24" s="41">
        <v>1</v>
      </c>
      <c r="BT24" s="41">
        <v>0</v>
      </c>
      <c r="BU24" s="41">
        <v>0</v>
      </c>
      <c r="BV24" s="41">
        <v>0</v>
      </c>
      <c r="BW24" s="43" t="s">
        <v>76</v>
      </c>
      <c r="BX24" s="43" t="s">
        <v>76</v>
      </c>
      <c r="BY24" s="11" t="s">
        <v>76</v>
      </c>
    </row>
    <row r="25" spans="1:77" x14ac:dyDescent="0.3">
      <c r="A25" s="4" t="s">
        <v>48</v>
      </c>
      <c r="B25" s="5" t="s">
        <v>143</v>
      </c>
      <c r="C25" s="39">
        <v>1</v>
      </c>
      <c r="D25" s="40">
        <v>75</v>
      </c>
      <c r="E25" s="12" t="s">
        <v>76</v>
      </c>
      <c r="F25" s="40">
        <v>0.4</v>
      </c>
      <c r="G25" s="12" t="s">
        <v>76</v>
      </c>
      <c r="H25" s="34" t="s">
        <v>2</v>
      </c>
      <c r="I25" s="11" t="s">
        <v>76</v>
      </c>
      <c r="J25" s="34" t="s">
        <v>249</v>
      </c>
      <c r="K25" s="11" t="s">
        <v>76</v>
      </c>
      <c r="L25" s="10">
        <v>1</v>
      </c>
      <c r="M25" s="41">
        <v>0</v>
      </c>
      <c r="N25" s="41">
        <v>0</v>
      </c>
      <c r="O25" s="41">
        <v>0</v>
      </c>
      <c r="P25" s="41">
        <v>0</v>
      </c>
      <c r="Q25" s="41">
        <v>0</v>
      </c>
      <c r="R25" s="41">
        <v>0</v>
      </c>
      <c r="S25" s="41">
        <v>0</v>
      </c>
      <c r="T25" s="41" t="s">
        <v>76</v>
      </c>
      <c r="U25" s="12" t="s">
        <v>76</v>
      </c>
      <c r="V25" s="10" t="s">
        <v>76</v>
      </c>
      <c r="W25" s="41" t="s">
        <v>76</v>
      </c>
      <c r="X25" s="41" t="s">
        <v>76</v>
      </c>
      <c r="Y25" s="41" t="s">
        <v>76</v>
      </c>
      <c r="Z25" s="41" t="s">
        <v>76</v>
      </c>
      <c r="AA25" s="41" t="s">
        <v>76</v>
      </c>
      <c r="AB25" s="10" t="s">
        <v>70</v>
      </c>
      <c r="AC25" s="42">
        <v>30</v>
      </c>
      <c r="AD25" s="34" t="s">
        <v>2</v>
      </c>
      <c r="AE25" s="41" t="s">
        <v>76</v>
      </c>
      <c r="AF25" s="43" t="s">
        <v>76</v>
      </c>
      <c r="AG25" s="43" t="s">
        <v>76</v>
      </c>
      <c r="AH25" s="43" t="s">
        <v>76</v>
      </c>
      <c r="AI25" s="11" t="s">
        <v>76</v>
      </c>
      <c r="AJ25" s="34" t="s">
        <v>2</v>
      </c>
      <c r="AK25" s="43" t="s">
        <v>76</v>
      </c>
      <c r="AL25" s="34" t="s">
        <v>76</v>
      </c>
      <c r="AM25" s="43" t="s">
        <v>76</v>
      </c>
      <c r="AN25" s="43" t="s">
        <v>76</v>
      </c>
      <c r="AO25" s="43" t="s">
        <v>76</v>
      </c>
      <c r="AP25" s="43" t="s">
        <v>76</v>
      </c>
      <c r="AQ25" s="43" t="s">
        <v>76</v>
      </c>
      <c r="AR25" s="11" t="s">
        <v>76</v>
      </c>
      <c r="AS25" s="34" t="s">
        <v>2</v>
      </c>
      <c r="AT25" s="11" t="s">
        <v>76</v>
      </c>
      <c r="AU25" s="34" t="s">
        <v>2</v>
      </c>
      <c r="AV25" s="43" t="s">
        <v>76</v>
      </c>
      <c r="AW25" s="11" t="s">
        <v>76</v>
      </c>
      <c r="AX25" s="34" t="s">
        <v>76</v>
      </c>
      <c r="AY25" s="43" t="s">
        <v>76</v>
      </c>
      <c r="AZ25" s="10">
        <v>1</v>
      </c>
      <c r="BA25" s="41">
        <v>1</v>
      </c>
      <c r="BB25" s="41">
        <v>1</v>
      </c>
      <c r="BC25" s="41">
        <v>1</v>
      </c>
      <c r="BD25" s="11" t="s">
        <v>76</v>
      </c>
      <c r="BE25" s="34" t="s">
        <v>76</v>
      </c>
      <c r="BF25" s="43" t="s">
        <v>76</v>
      </c>
      <c r="BG25" s="34" t="s">
        <v>76</v>
      </c>
      <c r="BH25" s="41" t="s">
        <v>76</v>
      </c>
      <c r="BI25" s="43" t="s">
        <v>76</v>
      </c>
      <c r="BJ25" s="11" t="s">
        <v>76</v>
      </c>
      <c r="BK25" s="34" t="s">
        <v>70</v>
      </c>
      <c r="BL25" s="43" t="s">
        <v>102</v>
      </c>
      <c r="BM25" s="43" t="s">
        <v>76</v>
      </c>
      <c r="BN25" s="43">
        <v>30</v>
      </c>
      <c r="BO25" s="11" t="s">
        <v>222</v>
      </c>
      <c r="BP25" s="41" t="s">
        <v>76</v>
      </c>
      <c r="BQ25" s="41" t="s">
        <v>76</v>
      </c>
      <c r="BR25" s="41" t="s">
        <v>76</v>
      </c>
      <c r="BS25" s="41" t="s">
        <v>76</v>
      </c>
      <c r="BT25" s="41" t="s">
        <v>76</v>
      </c>
      <c r="BU25" s="41" t="s">
        <v>76</v>
      </c>
      <c r="BV25" s="41" t="s">
        <v>76</v>
      </c>
      <c r="BW25" s="43" t="s">
        <v>76</v>
      </c>
      <c r="BX25" s="43" t="s">
        <v>76</v>
      </c>
      <c r="BY25" s="11" t="s">
        <v>76</v>
      </c>
    </row>
    <row r="26" spans="1:77" x14ac:dyDescent="0.3">
      <c r="A26" s="4" t="s">
        <v>49</v>
      </c>
      <c r="B26" s="5" t="s">
        <v>164</v>
      </c>
      <c r="C26" s="39">
        <v>1</v>
      </c>
      <c r="D26" s="40">
        <v>70</v>
      </c>
      <c r="E26" s="12" t="s">
        <v>76</v>
      </c>
      <c r="F26" s="40">
        <v>1.6</v>
      </c>
      <c r="G26" s="12" t="s">
        <v>76</v>
      </c>
      <c r="H26" s="34" t="s">
        <v>2</v>
      </c>
      <c r="I26" s="11" t="s">
        <v>76</v>
      </c>
      <c r="J26" s="34" t="s">
        <v>76</v>
      </c>
      <c r="K26" s="11" t="s">
        <v>76</v>
      </c>
      <c r="L26" s="10">
        <v>1</v>
      </c>
      <c r="M26" s="41">
        <v>0</v>
      </c>
      <c r="N26" s="41">
        <v>0</v>
      </c>
      <c r="O26" s="41">
        <v>1</v>
      </c>
      <c r="P26" s="41">
        <v>0</v>
      </c>
      <c r="Q26" s="41">
        <v>0</v>
      </c>
      <c r="R26" s="41">
        <v>0</v>
      </c>
      <c r="S26" s="41">
        <v>0</v>
      </c>
      <c r="T26" s="41" t="s">
        <v>76</v>
      </c>
      <c r="U26" s="12" t="s">
        <v>76</v>
      </c>
      <c r="V26" s="10">
        <v>0</v>
      </c>
      <c r="W26" s="41">
        <v>1</v>
      </c>
      <c r="X26" s="41">
        <v>0</v>
      </c>
      <c r="Y26" s="41">
        <v>0</v>
      </c>
      <c r="Z26" s="41">
        <v>0</v>
      </c>
      <c r="AA26" s="41" t="s">
        <v>76</v>
      </c>
      <c r="AB26" s="10" t="s">
        <v>70</v>
      </c>
      <c r="AC26" s="42">
        <v>30</v>
      </c>
      <c r="AD26" s="34" t="s">
        <v>2</v>
      </c>
      <c r="AE26" s="41" t="s">
        <v>76</v>
      </c>
      <c r="AF26" s="43" t="s">
        <v>76</v>
      </c>
      <c r="AG26" s="43" t="s">
        <v>76</v>
      </c>
      <c r="AH26" s="43" t="s">
        <v>76</v>
      </c>
      <c r="AI26" s="11" t="s">
        <v>76</v>
      </c>
      <c r="AJ26" s="34" t="s">
        <v>2</v>
      </c>
      <c r="AK26" s="43" t="s">
        <v>76</v>
      </c>
      <c r="AL26" s="34" t="s">
        <v>76</v>
      </c>
      <c r="AM26" s="43" t="s">
        <v>76</v>
      </c>
      <c r="AN26" s="43" t="s">
        <v>76</v>
      </c>
      <c r="AO26" s="43" t="s">
        <v>76</v>
      </c>
      <c r="AP26" s="43" t="s">
        <v>76</v>
      </c>
      <c r="AQ26" s="43" t="s">
        <v>76</v>
      </c>
      <c r="AR26" s="11" t="s">
        <v>76</v>
      </c>
      <c r="AS26" s="34" t="s">
        <v>70</v>
      </c>
      <c r="AT26" s="11" t="s">
        <v>76</v>
      </c>
      <c r="AU26" s="34" t="s">
        <v>2</v>
      </c>
      <c r="AV26" s="43" t="s">
        <v>76</v>
      </c>
      <c r="AW26" s="11" t="s">
        <v>76</v>
      </c>
      <c r="AX26" s="34" t="s">
        <v>2</v>
      </c>
      <c r="AY26" s="43" t="s">
        <v>76</v>
      </c>
      <c r="AZ26" s="10">
        <v>1</v>
      </c>
      <c r="BA26" s="41">
        <v>0</v>
      </c>
      <c r="BB26" s="41">
        <v>3</v>
      </c>
      <c r="BC26" s="41" t="s">
        <v>76</v>
      </c>
      <c r="BD26" s="11" t="s">
        <v>76</v>
      </c>
      <c r="BE26" s="34" t="s">
        <v>76</v>
      </c>
      <c r="BF26" s="43" t="s">
        <v>76</v>
      </c>
      <c r="BG26" s="34" t="s">
        <v>2</v>
      </c>
      <c r="BH26" s="41" t="s">
        <v>76</v>
      </c>
      <c r="BI26" s="43" t="s">
        <v>76</v>
      </c>
      <c r="BJ26" s="11" t="s">
        <v>76</v>
      </c>
      <c r="BK26" s="34" t="s">
        <v>2</v>
      </c>
      <c r="BL26" s="43" t="s">
        <v>102</v>
      </c>
      <c r="BM26" s="43" t="s">
        <v>76</v>
      </c>
      <c r="BN26" s="43" t="s">
        <v>76</v>
      </c>
      <c r="BO26" s="11" t="s">
        <v>76</v>
      </c>
      <c r="BP26" s="41">
        <v>1</v>
      </c>
      <c r="BQ26" s="41">
        <v>0</v>
      </c>
      <c r="BR26" s="41">
        <v>0</v>
      </c>
      <c r="BS26" s="41">
        <v>0</v>
      </c>
      <c r="BT26" s="41">
        <v>0</v>
      </c>
      <c r="BU26" s="41">
        <v>0</v>
      </c>
      <c r="BV26" s="41">
        <v>0</v>
      </c>
      <c r="BW26" s="43" t="s">
        <v>76</v>
      </c>
      <c r="BX26" s="43" t="s">
        <v>76</v>
      </c>
      <c r="BY26" s="11" t="s">
        <v>76</v>
      </c>
    </row>
    <row r="27" spans="1:77" x14ac:dyDescent="0.3">
      <c r="A27" s="4" t="s">
        <v>50</v>
      </c>
      <c r="B27" s="5" t="s">
        <v>165</v>
      </c>
      <c r="C27" s="39">
        <v>1</v>
      </c>
      <c r="D27" s="40">
        <v>80</v>
      </c>
      <c r="E27" s="12" t="s">
        <v>76</v>
      </c>
      <c r="F27" s="40">
        <v>1.4</v>
      </c>
      <c r="G27" s="12" t="s">
        <v>76</v>
      </c>
      <c r="H27" s="34" t="s">
        <v>2</v>
      </c>
      <c r="I27" s="11" t="s">
        <v>76</v>
      </c>
      <c r="J27" s="34" t="s">
        <v>248</v>
      </c>
      <c r="K27" s="11" t="s">
        <v>76</v>
      </c>
      <c r="L27" s="10">
        <v>1</v>
      </c>
      <c r="M27" s="41">
        <v>0</v>
      </c>
      <c r="N27" s="41">
        <v>0</v>
      </c>
      <c r="O27" s="41">
        <v>0</v>
      </c>
      <c r="P27" s="41">
        <v>0</v>
      </c>
      <c r="Q27" s="41">
        <v>0</v>
      </c>
      <c r="R27" s="41">
        <v>0</v>
      </c>
      <c r="S27" s="41">
        <v>0</v>
      </c>
      <c r="T27" s="41" t="s">
        <v>76</v>
      </c>
      <c r="U27" s="12" t="s">
        <v>76</v>
      </c>
      <c r="V27" s="10">
        <v>0</v>
      </c>
      <c r="W27" s="41">
        <v>1</v>
      </c>
      <c r="X27" s="41">
        <v>0</v>
      </c>
      <c r="Y27" s="41">
        <v>0</v>
      </c>
      <c r="Z27" s="41">
        <v>0</v>
      </c>
      <c r="AA27" s="41" t="s">
        <v>76</v>
      </c>
      <c r="AB27" s="10" t="s">
        <v>70</v>
      </c>
      <c r="AC27" s="42" t="s">
        <v>76</v>
      </c>
      <c r="AD27" s="34" t="s">
        <v>70</v>
      </c>
      <c r="AE27" s="41">
        <v>1</v>
      </c>
      <c r="AF27" s="43" t="s">
        <v>76</v>
      </c>
      <c r="AG27" s="43" t="s">
        <v>76</v>
      </c>
      <c r="AH27" s="43" t="s">
        <v>76</v>
      </c>
      <c r="AI27" s="11" t="s">
        <v>202</v>
      </c>
      <c r="AJ27" s="34" t="s">
        <v>2</v>
      </c>
      <c r="AK27" s="43" t="s">
        <v>76</v>
      </c>
      <c r="AL27" s="34" t="s">
        <v>76</v>
      </c>
      <c r="AM27" s="43" t="s">
        <v>76</v>
      </c>
      <c r="AN27" s="43" t="s">
        <v>76</v>
      </c>
      <c r="AO27" s="43" t="s">
        <v>76</v>
      </c>
      <c r="AP27" s="43" t="s">
        <v>76</v>
      </c>
      <c r="AQ27" s="43" t="s">
        <v>76</v>
      </c>
      <c r="AR27" s="11" t="s">
        <v>76</v>
      </c>
      <c r="AS27" s="34" t="s">
        <v>70</v>
      </c>
      <c r="AT27" s="11" t="s">
        <v>76</v>
      </c>
      <c r="AU27" s="34" t="s">
        <v>2</v>
      </c>
      <c r="AV27" s="43" t="s">
        <v>76</v>
      </c>
      <c r="AW27" s="11" t="s">
        <v>76</v>
      </c>
      <c r="AX27" s="34" t="s">
        <v>70</v>
      </c>
      <c r="AY27" s="43" t="s">
        <v>286</v>
      </c>
      <c r="AZ27" s="10" t="s">
        <v>76</v>
      </c>
      <c r="BA27" s="41" t="s">
        <v>76</v>
      </c>
      <c r="BB27" s="41" t="s">
        <v>76</v>
      </c>
      <c r="BC27" s="41" t="s">
        <v>76</v>
      </c>
      <c r="BD27" s="11" t="s">
        <v>76</v>
      </c>
      <c r="BE27" s="34" t="s">
        <v>70</v>
      </c>
      <c r="BF27" s="43" t="s">
        <v>293</v>
      </c>
      <c r="BG27" s="34" t="s">
        <v>2</v>
      </c>
      <c r="BH27" s="41" t="s">
        <v>76</v>
      </c>
      <c r="BI27" s="43" t="s">
        <v>76</v>
      </c>
      <c r="BJ27" s="11" t="s">
        <v>76</v>
      </c>
      <c r="BK27" s="34" t="s">
        <v>2</v>
      </c>
      <c r="BL27" s="43" t="s">
        <v>102</v>
      </c>
      <c r="BM27" s="43" t="s">
        <v>76</v>
      </c>
      <c r="BN27" s="43" t="s">
        <v>76</v>
      </c>
      <c r="BO27" s="11" t="s">
        <v>76</v>
      </c>
      <c r="BP27" s="41">
        <v>1</v>
      </c>
      <c r="BQ27" s="41">
        <v>0</v>
      </c>
      <c r="BR27" s="41">
        <v>0</v>
      </c>
      <c r="BS27" s="41">
        <v>0</v>
      </c>
      <c r="BT27" s="41">
        <v>0</v>
      </c>
      <c r="BU27" s="41">
        <v>0</v>
      </c>
      <c r="BV27" s="41">
        <v>0</v>
      </c>
      <c r="BW27" s="43" t="s">
        <v>76</v>
      </c>
      <c r="BX27" s="43" t="s">
        <v>76</v>
      </c>
      <c r="BY27" s="11" t="s">
        <v>76</v>
      </c>
    </row>
    <row r="28" spans="1:77" x14ac:dyDescent="0.3">
      <c r="A28" s="4" t="s">
        <v>51</v>
      </c>
      <c r="B28" s="5" t="s">
        <v>144</v>
      </c>
      <c r="C28" s="39">
        <v>1</v>
      </c>
      <c r="D28" s="40">
        <v>21</v>
      </c>
      <c r="E28" s="12" t="s">
        <v>76</v>
      </c>
      <c r="F28" s="40">
        <v>2.7</v>
      </c>
      <c r="G28" s="12" t="s">
        <v>76</v>
      </c>
      <c r="H28" s="34" t="s">
        <v>2</v>
      </c>
      <c r="I28" s="11" t="s">
        <v>76</v>
      </c>
      <c r="J28" s="34" t="s">
        <v>248</v>
      </c>
      <c r="K28" s="11" t="s">
        <v>76</v>
      </c>
      <c r="L28" s="10">
        <v>1</v>
      </c>
      <c r="M28" s="41">
        <v>0</v>
      </c>
      <c r="N28" s="41">
        <v>0</v>
      </c>
      <c r="O28" s="41">
        <v>0</v>
      </c>
      <c r="P28" s="41">
        <v>0</v>
      </c>
      <c r="Q28" s="41">
        <v>0</v>
      </c>
      <c r="R28" s="41">
        <v>0</v>
      </c>
      <c r="S28" s="41">
        <v>0</v>
      </c>
      <c r="T28" s="41" t="s">
        <v>76</v>
      </c>
      <c r="U28" s="12" t="s">
        <v>76</v>
      </c>
      <c r="V28" s="10">
        <v>0</v>
      </c>
      <c r="W28" s="41">
        <v>1</v>
      </c>
      <c r="X28" s="41">
        <v>0</v>
      </c>
      <c r="Y28" s="41">
        <v>0</v>
      </c>
      <c r="Z28" s="41">
        <v>0</v>
      </c>
      <c r="AA28" s="41" t="s">
        <v>76</v>
      </c>
      <c r="AB28" s="10" t="s">
        <v>70</v>
      </c>
      <c r="AC28" s="42" t="s">
        <v>76</v>
      </c>
      <c r="AD28" s="34" t="s">
        <v>70</v>
      </c>
      <c r="AE28" s="41">
        <v>3</v>
      </c>
      <c r="AF28" s="43" t="s">
        <v>76</v>
      </c>
      <c r="AG28" s="43" t="s">
        <v>76</v>
      </c>
      <c r="AH28" s="43" t="s">
        <v>76</v>
      </c>
      <c r="AI28" s="11" t="s">
        <v>76</v>
      </c>
      <c r="AJ28" s="34" t="s">
        <v>2</v>
      </c>
      <c r="AK28" s="43" t="s">
        <v>76</v>
      </c>
      <c r="AL28" s="34">
        <v>0</v>
      </c>
      <c r="AM28" s="43">
        <v>1</v>
      </c>
      <c r="AN28" s="43">
        <v>0</v>
      </c>
      <c r="AO28" s="43">
        <v>0</v>
      </c>
      <c r="AP28" s="43">
        <v>0</v>
      </c>
      <c r="AQ28" s="43" t="s">
        <v>76</v>
      </c>
      <c r="AR28" s="11" t="s">
        <v>76</v>
      </c>
      <c r="AS28" s="34" t="s">
        <v>70</v>
      </c>
      <c r="AT28" s="11" t="s">
        <v>76</v>
      </c>
      <c r="AU28" s="34" t="s">
        <v>2</v>
      </c>
      <c r="AV28" s="43" t="s">
        <v>76</v>
      </c>
      <c r="AW28" s="11" t="s">
        <v>76</v>
      </c>
      <c r="AX28" s="34" t="s">
        <v>2</v>
      </c>
      <c r="AY28" s="43" t="s">
        <v>76</v>
      </c>
      <c r="AZ28" s="10" t="s">
        <v>76</v>
      </c>
      <c r="BA28" s="41" t="s">
        <v>76</v>
      </c>
      <c r="BB28" s="41" t="s">
        <v>76</v>
      </c>
      <c r="BC28" s="41" t="s">
        <v>76</v>
      </c>
      <c r="BD28" s="11" t="s">
        <v>76</v>
      </c>
      <c r="BE28" s="34" t="s">
        <v>2</v>
      </c>
      <c r="BF28" s="43" t="s">
        <v>76</v>
      </c>
      <c r="BG28" s="34" t="s">
        <v>2</v>
      </c>
      <c r="BH28" s="41" t="s">
        <v>76</v>
      </c>
      <c r="BI28" s="43" t="s">
        <v>76</v>
      </c>
      <c r="BJ28" s="11" t="s">
        <v>76</v>
      </c>
      <c r="BK28" s="34" t="s">
        <v>70</v>
      </c>
      <c r="BL28" s="43" t="s">
        <v>102</v>
      </c>
      <c r="BM28" s="43" t="s">
        <v>76</v>
      </c>
      <c r="BN28" s="43" t="s">
        <v>76</v>
      </c>
      <c r="BO28" s="11" t="s">
        <v>76</v>
      </c>
      <c r="BP28" s="41">
        <v>0</v>
      </c>
      <c r="BQ28" s="41">
        <v>0</v>
      </c>
      <c r="BR28" s="41">
        <v>0</v>
      </c>
      <c r="BS28" s="41">
        <v>0</v>
      </c>
      <c r="BT28" s="41">
        <v>0</v>
      </c>
      <c r="BU28" s="41">
        <v>1</v>
      </c>
      <c r="BV28" s="41">
        <v>0</v>
      </c>
      <c r="BW28" s="43" t="s">
        <v>76</v>
      </c>
      <c r="BX28" s="43" t="s">
        <v>76</v>
      </c>
      <c r="BY28" s="11" t="s">
        <v>76</v>
      </c>
    </row>
    <row r="29" spans="1:77" x14ac:dyDescent="0.3">
      <c r="A29" s="4" t="s">
        <v>52</v>
      </c>
      <c r="B29" s="5" t="s">
        <v>145</v>
      </c>
      <c r="C29" s="39">
        <v>1</v>
      </c>
      <c r="D29" s="40">
        <v>54</v>
      </c>
      <c r="E29" s="12" t="s">
        <v>76</v>
      </c>
      <c r="F29" s="40">
        <v>1.9</v>
      </c>
      <c r="G29" s="12" t="s">
        <v>76</v>
      </c>
      <c r="H29" s="34" t="s">
        <v>2</v>
      </c>
      <c r="I29" s="11" t="s">
        <v>76</v>
      </c>
      <c r="J29" s="34" t="s">
        <v>248</v>
      </c>
      <c r="K29" s="11" t="s">
        <v>76</v>
      </c>
      <c r="L29" s="10">
        <v>0</v>
      </c>
      <c r="M29" s="41">
        <v>0</v>
      </c>
      <c r="N29" s="41">
        <v>0</v>
      </c>
      <c r="O29" s="41">
        <v>0</v>
      </c>
      <c r="P29" s="41">
        <v>0</v>
      </c>
      <c r="Q29" s="41">
        <v>0</v>
      </c>
      <c r="R29" s="41">
        <v>0</v>
      </c>
      <c r="S29" s="41">
        <v>1</v>
      </c>
      <c r="T29" s="41" t="s">
        <v>198</v>
      </c>
      <c r="U29" s="12" t="s">
        <v>76</v>
      </c>
      <c r="V29" s="10">
        <v>0</v>
      </c>
      <c r="W29" s="41">
        <v>1</v>
      </c>
      <c r="X29" s="41">
        <v>0</v>
      </c>
      <c r="Y29" s="41">
        <v>0</v>
      </c>
      <c r="Z29" s="41">
        <v>0</v>
      </c>
      <c r="AA29" s="41" t="s">
        <v>76</v>
      </c>
      <c r="AB29" s="10" t="s">
        <v>2</v>
      </c>
      <c r="AC29" s="42" t="s">
        <v>76</v>
      </c>
      <c r="AD29" s="34" t="s">
        <v>2</v>
      </c>
      <c r="AE29" s="41" t="s">
        <v>76</v>
      </c>
      <c r="AF29" s="43" t="s">
        <v>76</v>
      </c>
      <c r="AG29" s="43" t="s">
        <v>76</v>
      </c>
      <c r="AH29" s="43" t="s">
        <v>76</v>
      </c>
      <c r="AI29" s="11" t="s">
        <v>76</v>
      </c>
      <c r="AJ29" s="34" t="s">
        <v>2</v>
      </c>
      <c r="AK29" s="43" t="s">
        <v>76</v>
      </c>
      <c r="AL29" s="34">
        <v>0</v>
      </c>
      <c r="AM29" s="43">
        <v>1</v>
      </c>
      <c r="AN29" s="43">
        <v>0</v>
      </c>
      <c r="AO29" s="43">
        <v>0</v>
      </c>
      <c r="AP29" s="43">
        <v>0</v>
      </c>
      <c r="AQ29" s="43" t="s">
        <v>76</v>
      </c>
      <c r="AR29" s="11" t="s">
        <v>76</v>
      </c>
      <c r="AS29" s="34" t="s">
        <v>2</v>
      </c>
      <c r="AT29" s="11" t="s">
        <v>76</v>
      </c>
      <c r="AU29" s="34" t="s">
        <v>2</v>
      </c>
      <c r="AV29" s="43" t="s">
        <v>76</v>
      </c>
      <c r="AW29" s="11" t="s">
        <v>76</v>
      </c>
      <c r="AX29" s="34" t="s">
        <v>2</v>
      </c>
      <c r="AY29" s="43" t="s">
        <v>76</v>
      </c>
      <c r="AZ29" s="10">
        <v>1</v>
      </c>
      <c r="BA29" s="41">
        <v>0</v>
      </c>
      <c r="BB29" s="41">
        <v>4</v>
      </c>
      <c r="BC29" s="41" t="s">
        <v>76</v>
      </c>
      <c r="BD29" s="11" t="s">
        <v>213</v>
      </c>
      <c r="BE29" s="34" t="s">
        <v>76</v>
      </c>
      <c r="BF29" s="43" t="s">
        <v>76</v>
      </c>
      <c r="BG29" s="34" t="s">
        <v>2</v>
      </c>
      <c r="BH29" s="41" t="s">
        <v>76</v>
      </c>
      <c r="BI29" s="43" t="s">
        <v>76</v>
      </c>
      <c r="BJ29" s="11" t="s">
        <v>76</v>
      </c>
      <c r="BK29" s="34" t="s">
        <v>70</v>
      </c>
      <c r="BL29" s="43" t="s">
        <v>102</v>
      </c>
      <c r="BM29" s="43" t="s">
        <v>76</v>
      </c>
      <c r="BN29" s="43" t="s">
        <v>76</v>
      </c>
      <c r="BO29" s="11" t="s">
        <v>76</v>
      </c>
      <c r="BP29" s="41">
        <v>1</v>
      </c>
      <c r="BQ29" s="41">
        <v>0</v>
      </c>
      <c r="BR29" s="41">
        <v>0</v>
      </c>
      <c r="BS29" s="41">
        <v>0</v>
      </c>
      <c r="BT29" s="41">
        <v>0</v>
      </c>
      <c r="BU29" s="41">
        <v>0</v>
      </c>
      <c r="BV29" s="41">
        <v>0</v>
      </c>
      <c r="BW29" s="43" t="s">
        <v>76</v>
      </c>
      <c r="BX29" s="43" t="s">
        <v>76</v>
      </c>
      <c r="BY29" s="11" t="s">
        <v>76</v>
      </c>
    </row>
    <row r="30" spans="1:77" x14ac:dyDescent="0.3">
      <c r="A30" s="4" t="s">
        <v>53</v>
      </c>
      <c r="B30" s="5" t="s">
        <v>166</v>
      </c>
      <c r="C30" s="39">
        <v>1</v>
      </c>
      <c r="D30" s="40">
        <v>20</v>
      </c>
      <c r="E30" s="12" t="s">
        <v>76</v>
      </c>
      <c r="F30" s="40">
        <v>1.55</v>
      </c>
      <c r="G30" s="12" t="s">
        <v>76</v>
      </c>
      <c r="H30" s="34" t="s">
        <v>2</v>
      </c>
      <c r="I30" s="11" t="s">
        <v>76</v>
      </c>
      <c r="J30" s="34" t="s">
        <v>248</v>
      </c>
      <c r="K30" s="11" t="s">
        <v>76</v>
      </c>
      <c r="L30" s="10">
        <v>0</v>
      </c>
      <c r="M30" s="41">
        <v>0</v>
      </c>
      <c r="N30" s="41">
        <v>0</v>
      </c>
      <c r="O30" s="41">
        <v>1</v>
      </c>
      <c r="P30" s="41">
        <v>0</v>
      </c>
      <c r="Q30" s="41">
        <v>0</v>
      </c>
      <c r="R30" s="41">
        <v>0</v>
      </c>
      <c r="S30" s="41">
        <v>0</v>
      </c>
      <c r="T30" s="41" t="s">
        <v>76</v>
      </c>
      <c r="U30" s="12" t="s">
        <v>76</v>
      </c>
      <c r="V30" s="10" t="s">
        <v>76</v>
      </c>
      <c r="W30" s="41" t="s">
        <v>76</v>
      </c>
      <c r="X30" s="41" t="s">
        <v>76</v>
      </c>
      <c r="Y30" s="41" t="s">
        <v>76</v>
      </c>
      <c r="Z30" s="41" t="s">
        <v>76</v>
      </c>
      <c r="AA30" s="41" t="s">
        <v>76</v>
      </c>
      <c r="AB30" s="10" t="s">
        <v>2</v>
      </c>
      <c r="AC30" s="42" t="s">
        <v>76</v>
      </c>
      <c r="AD30" s="34" t="s">
        <v>2</v>
      </c>
      <c r="AE30" s="41" t="s">
        <v>76</v>
      </c>
      <c r="AF30" s="43" t="s">
        <v>76</v>
      </c>
      <c r="AG30" s="43" t="s">
        <v>76</v>
      </c>
      <c r="AH30" s="43" t="s">
        <v>76</v>
      </c>
      <c r="AI30" s="11" t="s">
        <v>76</v>
      </c>
      <c r="AJ30" s="34" t="s">
        <v>2</v>
      </c>
      <c r="AK30" s="43" t="s">
        <v>76</v>
      </c>
      <c r="AL30" s="34" t="s">
        <v>76</v>
      </c>
      <c r="AM30" s="43" t="s">
        <v>76</v>
      </c>
      <c r="AN30" s="43" t="s">
        <v>76</v>
      </c>
      <c r="AO30" s="43" t="s">
        <v>76</v>
      </c>
      <c r="AP30" s="43" t="s">
        <v>76</v>
      </c>
      <c r="AQ30" s="43" t="s">
        <v>76</v>
      </c>
      <c r="AR30" s="11" t="s">
        <v>76</v>
      </c>
      <c r="AS30" s="34" t="s">
        <v>2</v>
      </c>
      <c r="AT30" s="11" t="s">
        <v>76</v>
      </c>
      <c r="AU30" s="34" t="s">
        <v>2</v>
      </c>
      <c r="AV30" s="43" t="s">
        <v>76</v>
      </c>
      <c r="AW30" s="11" t="s">
        <v>76</v>
      </c>
      <c r="AX30" s="34" t="s">
        <v>2</v>
      </c>
      <c r="AY30" s="43" t="s">
        <v>76</v>
      </c>
      <c r="AZ30" s="10" t="s">
        <v>76</v>
      </c>
      <c r="BA30" s="41" t="s">
        <v>76</v>
      </c>
      <c r="BB30" s="41" t="s">
        <v>76</v>
      </c>
      <c r="BC30" s="41" t="s">
        <v>76</v>
      </c>
      <c r="BD30" s="11" t="s">
        <v>76</v>
      </c>
      <c r="BE30" s="34" t="s">
        <v>2</v>
      </c>
      <c r="BF30" s="43" t="s">
        <v>76</v>
      </c>
      <c r="BG30" s="34" t="s">
        <v>2</v>
      </c>
      <c r="BH30" s="41" t="s">
        <v>76</v>
      </c>
      <c r="BI30" s="43" t="s">
        <v>76</v>
      </c>
      <c r="BJ30" s="11" t="s">
        <v>76</v>
      </c>
      <c r="BK30" s="34" t="s">
        <v>70</v>
      </c>
      <c r="BL30" s="43" t="s">
        <v>102</v>
      </c>
      <c r="BM30" s="43" t="s">
        <v>76</v>
      </c>
      <c r="BN30" s="43">
        <v>20</v>
      </c>
      <c r="BO30" s="11" t="s">
        <v>303</v>
      </c>
      <c r="BP30" s="41">
        <v>1</v>
      </c>
      <c r="BQ30" s="41">
        <v>0</v>
      </c>
      <c r="BR30" s="41">
        <v>0</v>
      </c>
      <c r="BS30" s="41">
        <v>0</v>
      </c>
      <c r="BT30" s="41">
        <v>0</v>
      </c>
      <c r="BU30" s="41">
        <v>0</v>
      </c>
      <c r="BV30" s="41">
        <v>0</v>
      </c>
      <c r="BW30" s="43" t="s">
        <v>76</v>
      </c>
      <c r="BX30" s="43" t="s">
        <v>76</v>
      </c>
      <c r="BY30" s="11" t="s">
        <v>76</v>
      </c>
    </row>
    <row r="31" spans="1:77" x14ac:dyDescent="0.3">
      <c r="A31" s="4" t="s">
        <v>54</v>
      </c>
      <c r="B31" s="5" t="s">
        <v>146</v>
      </c>
      <c r="C31" s="39">
        <v>1</v>
      </c>
      <c r="D31" s="40">
        <v>180</v>
      </c>
      <c r="E31" s="12" t="s">
        <v>76</v>
      </c>
      <c r="F31" s="40">
        <v>2.4500000000000002</v>
      </c>
      <c r="G31" s="12" t="s">
        <v>76</v>
      </c>
      <c r="H31" s="34" t="s">
        <v>2</v>
      </c>
      <c r="I31" s="11" t="s">
        <v>76</v>
      </c>
      <c r="J31" s="34" t="s">
        <v>248</v>
      </c>
      <c r="K31" s="11" t="s">
        <v>76</v>
      </c>
      <c r="L31" s="10">
        <v>0</v>
      </c>
      <c r="M31" s="41">
        <v>0</v>
      </c>
      <c r="N31" s="41">
        <v>0</v>
      </c>
      <c r="O31" s="41">
        <v>0</v>
      </c>
      <c r="P31" s="41">
        <v>0</v>
      </c>
      <c r="Q31" s="41">
        <v>0</v>
      </c>
      <c r="R31" s="41">
        <v>0</v>
      </c>
      <c r="S31" s="41">
        <v>1</v>
      </c>
      <c r="T31" s="41" t="s">
        <v>272</v>
      </c>
      <c r="U31" s="12" t="s">
        <v>76</v>
      </c>
      <c r="V31" s="10">
        <v>0</v>
      </c>
      <c r="W31" s="41">
        <v>1</v>
      </c>
      <c r="X31" s="41">
        <v>1</v>
      </c>
      <c r="Y31" s="41">
        <v>0</v>
      </c>
      <c r="Z31" s="41">
        <v>0</v>
      </c>
      <c r="AA31" s="41" t="s">
        <v>76</v>
      </c>
      <c r="AB31" s="10" t="s">
        <v>70</v>
      </c>
      <c r="AC31" s="42" t="s">
        <v>76</v>
      </c>
      <c r="AD31" s="34" t="s">
        <v>70</v>
      </c>
      <c r="AE31" s="41" t="s">
        <v>76</v>
      </c>
      <c r="AF31" s="43" t="s">
        <v>76</v>
      </c>
      <c r="AG31" s="43" t="s">
        <v>76</v>
      </c>
      <c r="AH31" s="43" t="s">
        <v>76</v>
      </c>
      <c r="AI31" s="11" t="s">
        <v>203</v>
      </c>
      <c r="AJ31" s="34" t="s">
        <v>2</v>
      </c>
      <c r="AK31" s="43" t="s">
        <v>76</v>
      </c>
      <c r="AL31" s="34">
        <v>0</v>
      </c>
      <c r="AM31" s="43">
        <v>1</v>
      </c>
      <c r="AN31" s="43">
        <v>1</v>
      </c>
      <c r="AO31" s="43">
        <v>0</v>
      </c>
      <c r="AP31" s="43">
        <v>0</v>
      </c>
      <c r="AQ31" s="43" t="s">
        <v>76</v>
      </c>
      <c r="AR31" s="11" t="s">
        <v>275</v>
      </c>
      <c r="AS31" s="34" t="s">
        <v>70</v>
      </c>
      <c r="AT31" s="11" t="s">
        <v>76</v>
      </c>
      <c r="AU31" s="34" t="s">
        <v>2</v>
      </c>
      <c r="AV31" s="43" t="s">
        <v>76</v>
      </c>
      <c r="AW31" s="11" t="s">
        <v>76</v>
      </c>
      <c r="AX31" s="34" t="s">
        <v>2</v>
      </c>
      <c r="AY31" s="43" t="s">
        <v>76</v>
      </c>
      <c r="AZ31" s="10" t="s">
        <v>76</v>
      </c>
      <c r="BA31" s="41" t="s">
        <v>76</v>
      </c>
      <c r="BB31" s="41" t="s">
        <v>76</v>
      </c>
      <c r="BC31" s="41" t="s">
        <v>76</v>
      </c>
      <c r="BD31" s="11" t="s">
        <v>76</v>
      </c>
      <c r="BE31" s="34" t="s">
        <v>70</v>
      </c>
      <c r="BF31" s="43" t="s">
        <v>294</v>
      </c>
      <c r="BG31" s="34" t="s">
        <v>70</v>
      </c>
      <c r="BH31" s="41" t="s">
        <v>76</v>
      </c>
      <c r="BI31" s="43" t="s">
        <v>76</v>
      </c>
      <c r="BJ31" s="11" t="s">
        <v>296</v>
      </c>
      <c r="BK31" s="34" t="s">
        <v>70</v>
      </c>
      <c r="BL31" s="43" t="s">
        <v>102</v>
      </c>
      <c r="BM31" s="43" t="s">
        <v>76</v>
      </c>
      <c r="BN31" s="43" t="s">
        <v>76</v>
      </c>
      <c r="BO31" s="11" t="s">
        <v>304</v>
      </c>
      <c r="BP31" s="41">
        <v>1</v>
      </c>
      <c r="BQ31" s="41">
        <v>0</v>
      </c>
      <c r="BR31" s="41">
        <v>0</v>
      </c>
      <c r="BS31" s="41">
        <v>0</v>
      </c>
      <c r="BT31" s="41">
        <v>0</v>
      </c>
      <c r="BU31" s="41">
        <v>0</v>
      </c>
      <c r="BV31" s="41">
        <v>0</v>
      </c>
      <c r="BW31" s="43" t="s">
        <v>76</v>
      </c>
      <c r="BX31" s="43" t="s">
        <v>76</v>
      </c>
      <c r="BY31" s="11" t="s">
        <v>76</v>
      </c>
    </row>
    <row r="32" spans="1:77" x14ac:dyDescent="0.3">
      <c r="A32" s="4" t="s">
        <v>57</v>
      </c>
      <c r="B32" s="5" t="s">
        <v>169</v>
      </c>
      <c r="C32" s="39">
        <v>1</v>
      </c>
      <c r="D32" s="40">
        <v>7</v>
      </c>
      <c r="E32" s="44" t="s">
        <v>182</v>
      </c>
      <c r="F32" s="40" t="s">
        <v>76</v>
      </c>
      <c r="G32" s="12" t="s">
        <v>76</v>
      </c>
      <c r="H32" s="34" t="s">
        <v>2</v>
      </c>
      <c r="I32" s="11" t="s">
        <v>76</v>
      </c>
      <c r="J32" s="34" t="s">
        <v>250</v>
      </c>
      <c r="K32" s="11" t="s">
        <v>76</v>
      </c>
      <c r="L32" s="10" t="s">
        <v>76</v>
      </c>
      <c r="M32" s="41" t="s">
        <v>76</v>
      </c>
      <c r="N32" s="41" t="s">
        <v>76</v>
      </c>
      <c r="O32" s="41" t="s">
        <v>76</v>
      </c>
      <c r="P32" s="41" t="s">
        <v>76</v>
      </c>
      <c r="Q32" s="41" t="s">
        <v>76</v>
      </c>
      <c r="R32" s="41" t="s">
        <v>76</v>
      </c>
      <c r="S32" s="41" t="s">
        <v>76</v>
      </c>
      <c r="T32" s="41" t="s">
        <v>76</v>
      </c>
      <c r="U32" s="12" t="s">
        <v>76</v>
      </c>
      <c r="V32" s="10" t="s">
        <v>76</v>
      </c>
      <c r="W32" s="41" t="s">
        <v>76</v>
      </c>
      <c r="X32" s="41" t="s">
        <v>76</v>
      </c>
      <c r="Y32" s="41" t="s">
        <v>76</v>
      </c>
      <c r="Z32" s="41" t="s">
        <v>76</v>
      </c>
      <c r="AA32" s="41" t="s">
        <v>76</v>
      </c>
      <c r="AB32" s="10" t="s">
        <v>76</v>
      </c>
      <c r="AC32" s="42" t="s">
        <v>76</v>
      </c>
      <c r="AD32" s="34" t="s">
        <v>76</v>
      </c>
      <c r="AE32" s="41" t="s">
        <v>76</v>
      </c>
      <c r="AF32" s="43" t="s">
        <v>76</v>
      </c>
      <c r="AG32" s="43" t="s">
        <v>76</v>
      </c>
      <c r="AH32" s="43" t="s">
        <v>76</v>
      </c>
      <c r="AI32" s="11" t="s">
        <v>76</v>
      </c>
      <c r="AJ32" s="34" t="s">
        <v>76</v>
      </c>
      <c r="AK32" s="43" t="s">
        <v>76</v>
      </c>
      <c r="AL32" s="34" t="s">
        <v>76</v>
      </c>
      <c r="AM32" s="43" t="s">
        <v>76</v>
      </c>
      <c r="AN32" s="43" t="s">
        <v>76</v>
      </c>
      <c r="AO32" s="43" t="s">
        <v>76</v>
      </c>
      <c r="AP32" s="43" t="s">
        <v>76</v>
      </c>
      <c r="AQ32" s="43" t="s">
        <v>76</v>
      </c>
      <c r="AR32" s="11" t="s">
        <v>76</v>
      </c>
      <c r="AS32" s="34" t="s">
        <v>76</v>
      </c>
      <c r="AT32" s="11" t="s">
        <v>76</v>
      </c>
      <c r="AU32" s="34" t="s">
        <v>76</v>
      </c>
      <c r="AV32" s="43" t="s">
        <v>76</v>
      </c>
      <c r="AW32" s="11" t="s">
        <v>76</v>
      </c>
      <c r="AX32" s="34" t="s">
        <v>76</v>
      </c>
      <c r="AY32" s="43" t="s">
        <v>76</v>
      </c>
      <c r="AZ32" s="10" t="s">
        <v>76</v>
      </c>
      <c r="BA32" s="41" t="s">
        <v>76</v>
      </c>
      <c r="BB32" s="41" t="s">
        <v>76</v>
      </c>
      <c r="BC32" s="41" t="s">
        <v>76</v>
      </c>
      <c r="BD32" s="11" t="s">
        <v>76</v>
      </c>
      <c r="BE32" s="34" t="s">
        <v>76</v>
      </c>
      <c r="BF32" s="43" t="s">
        <v>76</v>
      </c>
      <c r="BG32" s="34" t="s">
        <v>76</v>
      </c>
      <c r="BH32" s="41" t="s">
        <v>76</v>
      </c>
      <c r="BI32" s="43" t="s">
        <v>76</v>
      </c>
      <c r="BJ32" s="11" t="s">
        <v>76</v>
      </c>
      <c r="BK32" s="34" t="s">
        <v>2</v>
      </c>
      <c r="BL32" s="43" t="s">
        <v>102</v>
      </c>
      <c r="BM32" s="43" t="s">
        <v>76</v>
      </c>
      <c r="BN32" s="43" t="s">
        <v>76</v>
      </c>
      <c r="BO32" s="11" t="s">
        <v>76</v>
      </c>
      <c r="BP32" s="41">
        <v>1</v>
      </c>
      <c r="BQ32" s="41">
        <v>0</v>
      </c>
      <c r="BR32" s="41">
        <v>0</v>
      </c>
      <c r="BS32" s="41">
        <v>0</v>
      </c>
      <c r="BT32" s="41">
        <v>0</v>
      </c>
      <c r="BU32" s="41">
        <v>0</v>
      </c>
      <c r="BV32" s="41">
        <v>0</v>
      </c>
      <c r="BW32" s="43" t="s">
        <v>76</v>
      </c>
      <c r="BX32" s="43" t="s">
        <v>76</v>
      </c>
      <c r="BY32" s="11" t="s">
        <v>76</v>
      </c>
    </row>
    <row r="33" spans="1:77" x14ac:dyDescent="0.3">
      <c r="A33" s="4" t="s">
        <v>58</v>
      </c>
      <c r="B33" s="5" t="s">
        <v>170</v>
      </c>
      <c r="C33" s="39">
        <v>1</v>
      </c>
      <c r="D33" s="40">
        <v>38</v>
      </c>
      <c r="E33" s="12" t="s">
        <v>76</v>
      </c>
      <c r="F33" s="40" t="s">
        <v>76</v>
      </c>
      <c r="G33" s="12" t="s">
        <v>76</v>
      </c>
      <c r="H33" s="34" t="s">
        <v>2</v>
      </c>
      <c r="I33" s="11" t="s">
        <v>76</v>
      </c>
      <c r="J33" s="34" t="s">
        <v>250</v>
      </c>
      <c r="K33" s="11" t="s">
        <v>76</v>
      </c>
      <c r="L33" s="10">
        <v>1</v>
      </c>
      <c r="M33" s="41">
        <v>0</v>
      </c>
      <c r="N33" s="41">
        <v>0</v>
      </c>
      <c r="O33" s="41">
        <v>0</v>
      </c>
      <c r="P33" s="41">
        <v>0</v>
      </c>
      <c r="Q33" s="41">
        <v>0</v>
      </c>
      <c r="R33" s="41">
        <v>0</v>
      </c>
      <c r="S33" s="41">
        <v>1</v>
      </c>
      <c r="T33" s="41" t="s">
        <v>273</v>
      </c>
      <c r="U33" s="12" t="s">
        <v>76</v>
      </c>
      <c r="V33" s="10" t="s">
        <v>76</v>
      </c>
      <c r="W33" s="41" t="s">
        <v>76</v>
      </c>
      <c r="X33" s="41" t="s">
        <v>76</v>
      </c>
      <c r="Y33" s="41" t="s">
        <v>76</v>
      </c>
      <c r="Z33" s="41" t="s">
        <v>76</v>
      </c>
      <c r="AA33" s="41" t="s">
        <v>76</v>
      </c>
      <c r="AB33" s="10" t="s">
        <v>76</v>
      </c>
      <c r="AC33" s="42" t="s">
        <v>76</v>
      </c>
      <c r="AD33" s="34" t="s">
        <v>76</v>
      </c>
      <c r="AE33" s="41" t="s">
        <v>76</v>
      </c>
      <c r="AF33" s="43" t="s">
        <v>76</v>
      </c>
      <c r="AG33" s="43" t="s">
        <v>76</v>
      </c>
      <c r="AH33" s="43" t="s">
        <v>76</v>
      </c>
      <c r="AI33" s="11" t="s">
        <v>76</v>
      </c>
      <c r="AJ33" s="34" t="s">
        <v>76</v>
      </c>
      <c r="AK33" s="43" t="s">
        <v>76</v>
      </c>
      <c r="AL33" s="34" t="s">
        <v>76</v>
      </c>
      <c r="AM33" s="43" t="s">
        <v>76</v>
      </c>
      <c r="AN33" s="43" t="s">
        <v>76</v>
      </c>
      <c r="AO33" s="43" t="s">
        <v>76</v>
      </c>
      <c r="AP33" s="43" t="s">
        <v>76</v>
      </c>
      <c r="AQ33" s="43" t="s">
        <v>76</v>
      </c>
      <c r="AR33" s="11" t="s">
        <v>76</v>
      </c>
      <c r="AS33" s="34" t="s">
        <v>76</v>
      </c>
      <c r="AT33" s="11" t="s">
        <v>76</v>
      </c>
      <c r="AU33" s="34" t="s">
        <v>76</v>
      </c>
      <c r="AV33" s="43" t="s">
        <v>76</v>
      </c>
      <c r="AW33" s="11" t="s">
        <v>76</v>
      </c>
      <c r="AX33" s="34" t="s">
        <v>76</v>
      </c>
      <c r="AY33" s="43" t="s">
        <v>76</v>
      </c>
      <c r="AZ33" s="10">
        <v>1</v>
      </c>
      <c r="BA33" s="41">
        <v>1</v>
      </c>
      <c r="BB33" s="41">
        <v>1</v>
      </c>
      <c r="BC33" s="41">
        <v>3</v>
      </c>
      <c r="BD33" s="45" t="s">
        <v>214</v>
      </c>
      <c r="BE33" s="34" t="s">
        <v>76</v>
      </c>
      <c r="BF33" s="43" t="s">
        <v>76</v>
      </c>
      <c r="BG33" s="34" t="s">
        <v>76</v>
      </c>
      <c r="BH33" s="41" t="s">
        <v>76</v>
      </c>
      <c r="BI33" s="43" t="s">
        <v>76</v>
      </c>
      <c r="BJ33" s="11" t="s">
        <v>76</v>
      </c>
      <c r="BK33" s="34" t="s">
        <v>70</v>
      </c>
      <c r="BL33" s="43" t="s">
        <v>102</v>
      </c>
      <c r="BM33" s="43" t="s">
        <v>76</v>
      </c>
      <c r="BN33" s="43">
        <v>20</v>
      </c>
      <c r="BO33" s="11" t="s">
        <v>305</v>
      </c>
      <c r="BP33" s="41">
        <v>0</v>
      </c>
      <c r="BQ33" s="41">
        <v>0</v>
      </c>
      <c r="BR33" s="41">
        <v>1</v>
      </c>
      <c r="BS33" s="41">
        <v>0</v>
      </c>
      <c r="BT33" s="41">
        <v>0</v>
      </c>
      <c r="BU33" s="41">
        <v>0</v>
      </c>
      <c r="BV33" s="41">
        <v>0</v>
      </c>
      <c r="BW33" s="43" t="s">
        <v>76</v>
      </c>
      <c r="BX33" s="43" t="s">
        <v>76</v>
      </c>
      <c r="BY33" s="11" t="s">
        <v>76</v>
      </c>
    </row>
    <row r="34" spans="1:77" x14ac:dyDescent="0.3">
      <c r="A34" s="4" t="s">
        <v>59</v>
      </c>
      <c r="B34" s="5" t="s">
        <v>171</v>
      </c>
      <c r="C34" s="39">
        <v>1</v>
      </c>
      <c r="D34" s="40">
        <v>24</v>
      </c>
      <c r="E34" s="12" t="s">
        <v>76</v>
      </c>
      <c r="F34" s="40">
        <v>0.5</v>
      </c>
      <c r="G34" s="12" t="s">
        <v>76</v>
      </c>
      <c r="H34" s="34" t="s">
        <v>2</v>
      </c>
      <c r="I34" s="11" t="s">
        <v>76</v>
      </c>
      <c r="J34" s="34" t="s">
        <v>248</v>
      </c>
      <c r="K34" s="11" t="s">
        <v>76</v>
      </c>
      <c r="L34" s="10">
        <v>1</v>
      </c>
      <c r="M34" s="41">
        <v>0</v>
      </c>
      <c r="N34" s="41">
        <v>0</v>
      </c>
      <c r="O34" s="41">
        <v>1</v>
      </c>
      <c r="P34" s="41">
        <v>0</v>
      </c>
      <c r="Q34" s="41">
        <v>0</v>
      </c>
      <c r="R34" s="41">
        <v>0</v>
      </c>
      <c r="S34" s="41">
        <v>0</v>
      </c>
      <c r="T34" s="41" t="s">
        <v>76</v>
      </c>
      <c r="U34" s="12" t="s">
        <v>76</v>
      </c>
      <c r="V34" s="10" t="s">
        <v>76</v>
      </c>
      <c r="W34" s="41" t="s">
        <v>76</v>
      </c>
      <c r="X34" s="41" t="s">
        <v>76</v>
      </c>
      <c r="Y34" s="41" t="s">
        <v>76</v>
      </c>
      <c r="Z34" s="41" t="s">
        <v>76</v>
      </c>
      <c r="AA34" s="41" t="s">
        <v>76</v>
      </c>
      <c r="AB34" s="10" t="s">
        <v>2</v>
      </c>
      <c r="AC34" s="42" t="s">
        <v>76</v>
      </c>
      <c r="AD34" s="34" t="s">
        <v>70</v>
      </c>
      <c r="AE34" s="41">
        <v>1</v>
      </c>
      <c r="AF34" s="43" t="s">
        <v>76</v>
      </c>
      <c r="AG34" s="43" t="s">
        <v>76</v>
      </c>
      <c r="AH34" s="43" t="s">
        <v>76</v>
      </c>
      <c r="AI34" s="11" t="s">
        <v>204</v>
      </c>
      <c r="AJ34" s="34" t="s">
        <v>2</v>
      </c>
      <c r="AK34" s="43" t="s">
        <v>76</v>
      </c>
      <c r="AL34" s="34" t="s">
        <v>76</v>
      </c>
      <c r="AM34" s="43" t="s">
        <v>76</v>
      </c>
      <c r="AN34" s="43" t="s">
        <v>76</v>
      </c>
      <c r="AO34" s="43" t="s">
        <v>76</v>
      </c>
      <c r="AP34" s="43" t="s">
        <v>76</v>
      </c>
      <c r="AQ34" s="43" t="s">
        <v>76</v>
      </c>
      <c r="AR34" s="11" t="s">
        <v>76</v>
      </c>
      <c r="AS34" s="34" t="s">
        <v>2</v>
      </c>
      <c r="AT34" s="11" t="s">
        <v>76</v>
      </c>
      <c r="AU34" s="34" t="s">
        <v>2</v>
      </c>
      <c r="AV34" s="43" t="s">
        <v>76</v>
      </c>
      <c r="AW34" s="11" t="s">
        <v>285</v>
      </c>
      <c r="AX34" s="34" t="s">
        <v>2</v>
      </c>
      <c r="AY34" s="43" t="s">
        <v>76</v>
      </c>
      <c r="AZ34" s="10" t="s">
        <v>76</v>
      </c>
      <c r="BA34" s="41" t="s">
        <v>76</v>
      </c>
      <c r="BB34" s="41" t="s">
        <v>76</v>
      </c>
      <c r="BC34" s="41" t="s">
        <v>76</v>
      </c>
      <c r="BD34" s="11" t="s">
        <v>76</v>
      </c>
      <c r="BE34" s="34" t="s">
        <v>2</v>
      </c>
      <c r="BF34" s="43" t="s">
        <v>76</v>
      </c>
      <c r="BG34" s="34" t="s">
        <v>2</v>
      </c>
      <c r="BH34" s="41" t="s">
        <v>76</v>
      </c>
      <c r="BI34" s="43" t="s">
        <v>76</v>
      </c>
      <c r="BJ34" s="11" t="s">
        <v>76</v>
      </c>
      <c r="BK34" s="34" t="s">
        <v>70</v>
      </c>
      <c r="BL34" s="43" t="s">
        <v>102</v>
      </c>
      <c r="BM34" s="43" t="s">
        <v>76</v>
      </c>
      <c r="BN34" s="43" t="s">
        <v>76</v>
      </c>
      <c r="BO34" s="11" t="s">
        <v>76</v>
      </c>
      <c r="BP34" s="41">
        <v>1</v>
      </c>
      <c r="BQ34" s="41">
        <v>0</v>
      </c>
      <c r="BR34" s="41">
        <v>0</v>
      </c>
      <c r="BS34" s="41">
        <v>0</v>
      </c>
      <c r="BT34" s="41">
        <v>0</v>
      </c>
      <c r="BU34" s="41">
        <v>0</v>
      </c>
      <c r="BV34" s="41">
        <v>0</v>
      </c>
      <c r="BW34" s="43" t="s">
        <v>76</v>
      </c>
      <c r="BX34" s="43" t="s">
        <v>76</v>
      </c>
      <c r="BY34" s="11" t="s">
        <v>76</v>
      </c>
    </row>
    <row r="35" spans="1:77" x14ac:dyDescent="0.3">
      <c r="A35" s="4" t="s">
        <v>60</v>
      </c>
      <c r="B35" s="5" t="s">
        <v>147</v>
      </c>
      <c r="C35" s="39">
        <v>1</v>
      </c>
      <c r="D35" s="40">
        <v>80</v>
      </c>
      <c r="E35" s="12" t="s">
        <v>76</v>
      </c>
      <c r="F35" s="40">
        <v>3.2</v>
      </c>
      <c r="G35" s="12" t="s">
        <v>196</v>
      </c>
      <c r="H35" s="34" t="s">
        <v>2</v>
      </c>
      <c r="I35" s="11" t="s">
        <v>76</v>
      </c>
      <c r="J35" s="34" t="s">
        <v>250</v>
      </c>
      <c r="K35" s="11" t="s">
        <v>76</v>
      </c>
      <c r="L35" s="10">
        <v>1</v>
      </c>
      <c r="M35" s="41">
        <v>0</v>
      </c>
      <c r="N35" s="41">
        <v>0</v>
      </c>
      <c r="O35" s="41">
        <v>1</v>
      </c>
      <c r="P35" s="41">
        <v>0</v>
      </c>
      <c r="Q35" s="41">
        <v>0</v>
      </c>
      <c r="R35" s="41">
        <v>0</v>
      </c>
      <c r="S35" s="41">
        <v>0</v>
      </c>
      <c r="T35" s="41" t="s">
        <v>76</v>
      </c>
      <c r="U35" s="12" t="s">
        <v>76</v>
      </c>
      <c r="V35" s="10">
        <v>0</v>
      </c>
      <c r="W35" s="41">
        <v>1</v>
      </c>
      <c r="X35" s="41">
        <v>0</v>
      </c>
      <c r="Y35" s="41">
        <v>0</v>
      </c>
      <c r="Z35" s="41">
        <v>0</v>
      </c>
      <c r="AA35" s="41" t="s">
        <v>76</v>
      </c>
      <c r="AB35" s="10" t="s">
        <v>70</v>
      </c>
      <c r="AC35" s="42" t="s">
        <v>76</v>
      </c>
      <c r="AD35" s="34" t="s">
        <v>70</v>
      </c>
      <c r="AE35" s="41">
        <v>3</v>
      </c>
      <c r="AF35" s="43" t="s">
        <v>76</v>
      </c>
      <c r="AG35" s="43" t="s">
        <v>76</v>
      </c>
      <c r="AH35" s="43" t="s">
        <v>76</v>
      </c>
      <c r="AI35" s="11" t="s">
        <v>205</v>
      </c>
      <c r="AJ35" s="34" t="s">
        <v>2</v>
      </c>
      <c r="AK35" s="43" t="s">
        <v>76</v>
      </c>
      <c r="AL35" s="34">
        <v>0</v>
      </c>
      <c r="AM35" s="43">
        <v>1</v>
      </c>
      <c r="AN35" s="43">
        <v>0</v>
      </c>
      <c r="AO35" s="43">
        <v>0</v>
      </c>
      <c r="AP35" s="43">
        <v>0</v>
      </c>
      <c r="AQ35" s="43" t="s">
        <v>76</v>
      </c>
      <c r="AR35" s="11" t="s">
        <v>76</v>
      </c>
      <c r="AS35" s="34" t="s">
        <v>70</v>
      </c>
      <c r="AT35" s="11" t="s">
        <v>280</v>
      </c>
      <c r="AU35" s="34" t="s">
        <v>2</v>
      </c>
      <c r="AV35" s="43" t="s">
        <v>76</v>
      </c>
      <c r="AW35" s="11" t="s">
        <v>76</v>
      </c>
      <c r="AX35" s="34" t="s">
        <v>2</v>
      </c>
      <c r="AY35" s="43" t="s">
        <v>76</v>
      </c>
      <c r="AZ35" s="10" t="s">
        <v>76</v>
      </c>
      <c r="BA35" s="41" t="s">
        <v>76</v>
      </c>
      <c r="BB35" s="41" t="s">
        <v>76</v>
      </c>
      <c r="BC35" s="41" t="s">
        <v>76</v>
      </c>
      <c r="BD35" s="11" t="s">
        <v>291</v>
      </c>
      <c r="BE35" s="34" t="s">
        <v>76</v>
      </c>
      <c r="BF35" s="43" t="s">
        <v>76</v>
      </c>
      <c r="BG35" s="34" t="s">
        <v>70</v>
      </c>
      <c r="BH35" s="41" t="s">
        <v>76</v>
      </c>
      <c r="BI35" s="43" t="s">
        <v>76</v>
      </c>
      <c r="BJ35" s="11" t="s">
        <v>76</v>
      </c>
      <c r="BK35" s="34" t="s">
        <v>70</v>
      </c>
      <c r="BL35" s="43" t="s">
        <v>102</v>
      </c>
      <c r="BM35" s="43" t="s">
        <v>76</v>
      </c>
      <c r="BN35" s="43" t="s">
        <v>76</v>
      </c>
      <c r="BO35" s="11" t="s">
        <v>76</v>
      </c>
      <c r="BP35" s="41">
        <v>1</v>
      </c>
      <c r="BQ35" s="41">
        <v>0</v>
      </c>
      <c r="BR35" s="41">
        <v>0</v>
      </c>
      <c r="BS35" s="41">
        <v>0</v>
      </c>
      <c r="BT35" s="41">
        <v>0</v>
      </c>
      <c r="BU35" s="41">
        <v>0</v>
      </c>
      <c r="BV35" s="41">
        <v>0</v>
      </c>
      <c r="BW35" s="43" t="s">
        <v>76</v>
      </c>
      <c r="BX35" s="43" t="s">
        <v>76</v>
      </c>
      <c r="BY35" s="11" t="s">
        <v>76</v>
      </c>
    </row>
    <row r="36" spans="1:77" x14ac:dyDescent="0.3">
      <c r="A36" s="4" t="s">
        <v>61</v>
      </c>
      <c r="B36" s="5" t="s">
        <v>172</v>
      </c>
      <c r="C36" s="39">
        <v>1</v>
      </c>
      <c r="D36" s="40">
        <v>60</v>
      </c>
      <c r="E36" s="12" t="s">
        <v>76</v>
      </c>
      <c r="F36" s="40">
        <v>1.4</v>
      </c>
      <c r="G36" s="12" t="s">
        <v>76</v>
      </c>
      <c r="H36" s="34" t="s">
        <v>2</v>
      </c>
      <c r="I36" s="11" t="s">
        <v>76</v>
      </c>
      <c r="J36" s="34" t="s">
        <v>248</v>
      </c>
      <c r="K36" s="11" t="s">
        <v>76</v>
      </c>
      <c r="L36" s="10">
        <v>1</v>
      </c>
      <c r="M36" s="41">
        <v>0</v>
      </c>
      <c r="N36" s="41">
        <v>0</v>
      </c>
      <c r="O36" s="41">
        <v>1</v>
      </c>
      <c r="P36" s="41">
        <v>0</v>
      </c>
      <c r="Q36" s="41">
        <v>0</v>
      </c>
      <c r="R36" s="41">
        <v>0</v>
      </c>
      <c r="S36" s="41">
        <v>1</v>
      </c>
      <c r="T36" s="41" t="s">
        <v>200</v>
      </c>
      <c r="U36" s="12" t="s">
        <v>76</v>
      </c>
      <c r="V36" s="10">
        <v>1</v>
      </c>
      <c r="W36" s="41">
        <v>1</v>
      </c>
      <c r="X36" s="41">
        <v>0</v>
      </c>
      <c r="Y36" s="41">
        <v>0</v>
      </c>
      <c r="Z36" s="41">
        <v>0</v>
      </c>
      <c r="AA36" s="41" t="s">
        <v>76</v>
      </c>
      <c r="AB36" s="10" t="s">
        <v>2</v>
      </c>
      <c r="AC36" s="42" t="s">
        <v>76</v>
      </c>
      <c r="AD36" s="34" t="s">
        <v>2</v>
      </c>
      <c r="AE36" s="41" t="s">
        <v>76</v>
      </c>
      <c r="AF36" s="43" t="s">
        <v>76</v>
      </c>
      <c r="AG36" s="43" t="s">
        <v>76</v>
      </c>
      <c r="AH36" s="43" t="s">
        <v>76</v>
      </c>
      <c r="AI36" s="11" t="s">
        <v>76</v>
      </c>
      <c r="AJ36" s="34" t="s">
        <v>2</v>
      </c>
      <c r="AK36" s="43" t="s">
        <v>76</v>
      </c>
      <c r="AL36" s="34">
        <v>0</v>
      </c>
      <c r="AM36" s="43">
        <v>1</v>
      </c>
      <c r="AN36" s="43">
        <v>0</v>
      </c>
      <c r="AO36" s="43">
        <v>0</v>
      </c>
      <c r="AP36" s="43">
        <v>0</v>
      </c>
      <c r="AQ36" s="43" t="s">
        <v>76</v>
      </c>
      <c r="AR36" s="11" t="s">
        <v>76</v>
      </c>
      <c r="AS36" s="34" t="s">
        <v>2</v>
      </c>
      <c r="AT36" s="11" t="s">
        <v>76</v>
      </c>
      <c r="AU36" s="34" t="s">
        <v>70</v>
      </c>
      <c r="AV36" s="43" t="s">
        <v>212</v>
      </c>
      <c r="AW36" s="11" t="s">
        <v>76</v>
      </c>
      <c r="AX36" s="34" t="s">
        <v>70</v>
      </c>
      <c r="AY36" s="43" t="s">
        <v>76</v>
      </c>
      <c r="AZ36" s="10" t="s">
        <v>76</v>
      </c>
      <c r="BA36" s="41" t="s">
        <v>76</v>
      </c>
      <c r="BB36" s="41" t="s">
        <v>76</v>
      </c>
      <c r="BC36" s="41" t="s">
        <v>76</v>
      </c>
      <c r="BD36" s="11" t="s">
        <v>76</v>
      </c>
      <c r="BE36" s="34" t="s">
        <v>76</v>
      </c>
      <c r="BF36" s="43" t="s">
        <v>76</v>
      </c>
      <c r="BG36" s="34" t="s">
        <v>2</v>
      </c>
      <c r="BH36" s="41" t="s">
        <v>76</v>
      </c>
      <c r="BI36" s="43" t="s">
        <v>76</v>
      </c>
      <c r="BJ36" s="11" t="s">
        <v>76</v>
      </c>
      <c r="BK36" s="34" t="s">
        <v>70</v>
      </c>
      <c r="BL36" s="43" t="s">
        <v>102</v>
      </c>
      <c r="BM36" s="43" t="s">
        <v>76</v>
      </c>
      <c r="BN36" s="43" t="s">
        <v>76</v>
      </c>
      <c r="BO36" s="11" t="s">
        <v>306</v>
      </c>
      <c r="BP36" s="41">
        <v>1</v>
      </c>
      <c r="BQ36" s="41">
        <v>0</v>
      </c>
      <c r="BR36" s="41">
        <v>0</v>
      </c>
      <c r="BS36" s="41">
        <v>0</v>
      </c>
      <c r="BT36" s="41">
        <v>0</v>
      </c>
      <c r="BU36" s="41">
        <v>0</v>
      </c>
      <c r="BV36" s="41">
        <v>0</v>
      </c>
      <c r="BW36" s="43" t="s">
        <v>76</v>
      </c>
      <c r="BX36" s="43" t="s">
        <v>76</v>
      </c>
      <c r="BY36" s="11" t="s">
        <v>76</v>
      </c>
    </row>
    <row r="37" spans="1:77" x14ac:dyDescent="0.3">
      <c r="A37" s="4" t="s">
        <v>62</v>
      </c>
      <c r="B37" s="5" t="s">
        <v>148</v>
      </c>
      <c r="C37" s="39">
        <v>1</v>
      </c>
      <c r="D37" s="40">
        <v>100</v>
      </c>
      <c r="E37" s="12" t="s">
        <v>76</v>
      </c>
      <c r="F37" s="40">
        <v>1.9</v>
      </c>
      <c r="G37" s="12" t="s">
        <v>76</v>
      </c>
      <c r="H37" s="34" t="s">
        <v>2</v>
      </c>
      <c r="I37" s="11" t="s">
        <v>76</v>
      </c>
      <c r="J37" s="34" t="s">
        <v>249</v>
      </c>
      <c r="K37" s="11" t="s">
        <v>76</v>
      </c>
      <c r="L37" s="10">
        <v>0</v>
      </c>
      <c r="M37" s="41">
        <v>0</v>
      </c>
      <c r="N37" s="41">
        <v>0</v>
      </c>
      <c r="O37" s="41">
        <v>0</v>
      </c>
      <c r="P37" s="41">
        <v>0</v>
      </c>
      <c r="Q37" s="41">
        <v>0</v>
      </c>
      <c r="R37" s="41">
        <v>0</v>
      </c>
      <c r="S37" s="41">
        <v>1</v>
      </c>
      <c r="T37" s="41" t="s">
        <v>199</v>
      </c>
      <c r="U37" s="12" t="s">
        <v>76</v>
      </c>
      <c r="V37" s="10" t="s">
        <v>76</v>
      </c>
      <c r="W37" s="41" t="s">
        <v>76</v>
      </c>
      <c r="X37" s="41" t="s">
        <v>76</v>
      </c>
      <c r="Y37" s="41" t="s">
        <v>76</v>
      </c>
      <c r="Z37" s="41" t="s">
        <v>76</v>
      </c>
      <c r="AA37" s="41" t="s">
        <v>76</v>
      </c>
      <c r="AB37" s="10" t="s">
        <v>2</v>
      </c>
      <c r="AC37" s="42" t="s">
        <v>76</v>
      </c>
      <c r="AD37" s="34" t="s">
        <v>70</v>
      </c>
      <c r="AE37" s="41">
        <v>2</v>
      </c>
      <c r="AF37" s="43" t="s">
        <v>76</v>
      </c>
      <c r="AG37" s="41">
        <v>2</v>
      </c>
      <c r="AH37" s="43" t="s">
        <v>76</v>
      </c>
      <c r="AI37" s="11" t="s">
        <v>76</v>
      </c>
      <c r="AJ37" s="34" t="s">
        <v>2</v>
      </c>
      <c r="AK37" s="43" t="s">
        <v>76</v>
      </c>
      <c r="AL37" s="34" t="s">
        <v>76</v>
      </c>
      <c r="AM37" s="43" t="s">
        <v>76</v>
      </c>
      <c r="AN37" s="43" t="s">
        <v>76</v>
      </c>
      <c r="AO37" s="43" t="s">
        <v>76</v>
      </c>
      <c r="AP37" s="43" t="s">
        <v>76</v>
      </c>
      <c r="AQ37" s="43" t="s">
        <v>76</v>
      </c>
      <c r="AR37" s="11" t="s">
        <v>76</v>
      </c>
      <c r="AS37" s="34" t="s">
        <v>70</v>
      </c>
      <c r="AT37" s="11" t="s">
        <v>76</v>
      </c>
      <c r="AU37" s="34" t="s">
        <v>2</v>
      </c>
      <c r="AV37" s="43" t="s">
        <v>76</v>
      </c>
      <c r="AW37" s="11" t="s">
        <v>76</v>
      </c>
      <c r="AX37" s="34" t="s">
        <v>70</v>
      </c>
      <c r="AY37" s="43" t="s">
        <v>287</v>
      </c>
      <c r="AZ37" s="10" t="s">
        <v>76</v>
      </c>
      <c r="BA37" s="41" t="s">
        <v>76</v>
      </c>
      <c r="BB37" s="41" t="s">
        <v>76</v>
      </c>
      <c r="BC37" s="41" t="s">
        <v>76</v>
      </c>
      <c r="BD37" s="11" t="s">
        <v>76</v>
      </c>
      <c r="BE37" s="34" t="s">
        <v>70</v>
      </c>
      <c r="BF37" s="43" t="s">
        <v>295</v>
      </c>
      <c r="BG37" s="34" t="s">
        <v>70</v>
      </c>
      <c r="BH37" s="41" t="s">
        <v>76</v>
      </c>
      <c r="BI37" s="43" t="s">
        <v>76</v>
      </c>
      <c r="BJ37" s="11" t="s">
        <v>76</v>
      </c>
      <c r="BK37" s="34" t="s">
        <v>70</v>
      </c>
      <c r="BL37" s="43" t="s">
        <v>102</v>
      </c>
      <c r="BM37" s="43" t="s">
        <v>76</v>
      </c>
      <c r="BN37" s="43" t="s">
        <v>76</v>
      </c>
      <c r="BO37" s="11" t="s">
        <v>76</v>
      </c>
      <c r="BP37" s="41">
        <v>1</v>
      </c>
      <c r="BQ37" s="41">
        <v>0</v>
      </c>
      <c r="BR37" s="41">
        <v>0</v>
      </c>
      <c r="BS37" s="41">
        <v>0</v>
      </c>
      <c r="BT37" s="41">
        <v>0</v>
      </c>
      <c r="BU37" s="41">
        <v>0</v>
      </c>
      <c r="BV37" s="41">
        <v>0</v>
      </c>
      <c r="BW37" s="43" t="s">
        <v>76</v>
      </c>
      <c r="BX37" s="43" t="s">
        <v>76</v>
      </c>
      <c r="BY37" s="11" t="s">
        <v>76</v>
      </c>
    </row>
    <row r="38" spans="1:77" x14ac:dyDescent="0.3">
      <c r="A38" s="4" t="s">
        <v>63</v>
      </c>
      <c r="B38" s="5" t="s">
        <v>173</v>
      </c>
      <c r="C38" s="39">
        <v>1</v>
      </c>
      <c r="D38" s="40" t="s">
        <v>76</v>
      </c>
      <c r="E38" s="12" t="s">
        <v>269</v>
      </c>
      <c r="F38" s="40">
        <v>1.8</v>
      </c>
      <c r="G38" s="12" t="s">
        <v>76</v>
      </c>
      <c r="H38" s="34" t="s">
        <v>2</v>
      </c>
      <c r="I38" s="11" t="s">
        <v>76</v>
      </c>
      <c r="J38" s="34" t="s">
        <v>248</v>
      </c>
      <c r="K38" s="11" t="s">
        <v>76</v>
      </c>
      <c r="L38" s="10">
        <v>1</v>
      </c>
      <c r="M38" s="41">
        <v>1</v>
      </c>
      <c r="N38" s="41">
        <v>0</v>
      </c>
      <c r="O38" s="41">
        <v>1</v>
      </c>
      <c r="P38" s="41">
        <v>0</v>
      </c>
      <c r="Q38" s="41">
        <v>0</v>
      </c>
      <c r="R38" s="41">
        <v>0</v>
      </c>
      <c r="S38" s="41">
        <v>0</v>
      </c>
      <c r="T38" s="41" t="s">
        <v>76</v>
      </c>
      <c r="U38" s="12" t="s">
        <v>76</v>
      </c>
      <c r="V38" s="10" t="s">
        <v>76</v>
      </c>
      <c r="W38" s="41" t="s">
        <v>76</v>
      </c>
      <c r="X38" s="41" t="s">
        <v>76</v>
      </c>
      <c r="Y38" s="41" t="s">
        <v>76</v>
      </c>
      <c r="Z38" s="41" t="s">
        <v>76</v>
      </c>
      <c r="AA38" s="41" t="s">
        <v>76</v>
      </c>
      <c r="AB38" s="10" t="s">
        <v>2</v>
      </c>
      <c r="AC38" s="42" t="s">
        <v>76</v>
      </c>
      <c r="AD38" s="34" t="s">
        <v>2</v>
      </c>
      <c r="AE38" s="41" t="s">
        <v>76</v>
      </c>
      <c r="AF38" s="43" t="s">
        <v>76</v>
      </c>
      <c r="AG38" s="43" t="s">
        <v>76</v>
      </c>
      <c r="AH38" s="43" t="s">
        <v>76</v>
      </c>
      <c r="AI38" s="11" t="s">
        <v>76</v>
      </c>
      <c r="AJ38" s="34" t="s">
        <v>2</v>
      </c>
      <c r="AK38" s="43" t="s">
        <v>76</v>
      </c>
      <c r="AL38" s="34" t="s">
        <v>76</v>
      </c>
      <c r="AM38" s="43" t="s">
        <v>76</v>
      </c>
      <c r="AN38" s="43" t="s">
        <v>76</v>
      </c>
      <c r="AO38" s="43" t="s">
        <v>76</v>
      </c>
      <c r="AP38" s="43" t="s">
        <v>76</v>
      </c>
      <c r="AQ38" s="43" t="s">
        <v>76</v>
      </c>
      <c r="AR38" s="11" t="s">
        <v>76</v>
      </c>
      <c r="AS38" s="34" t="s">
        <v>2</v>
      </c>
      <c r="AT38" s="11" t="s">
        <v>76</v>
      </c>
      <c r="AU38" s="34" t="s">
        <v>2</v>
      </c>
      <c r="AV38" s="43" t="s">
        <v>76</v>
      </c>
      <c r="AW38" s="11" t="s">
        <v>76</v>
      </c>
      <c r="AX38" s="34" t="s">
        <v>2</v>
      </c>
      <c r="AY38" s="43" t="s">
        <v>76</v>
      </c>
      <c r="AZ38" s="10">
        <v>0</v>
      </c>
      <c r="BA38" s="41">
        <v>1</v>
      </c>
      <c r="BB38" s="41" t="s">
        <v>76</v>
      </c>
      <c r="BC38" s="41">
        <v>1</v>
      </c>
      <c r="BD38" s="11" t="s">
        <v>263</v>
      </c>
      <c r="BE38" s="34" t="s">
        <v>2</v>
      </c>
      <c r="BF38" s="43" t="s">
        <v>76</v>
      </c>
      <c r="BG38" s="34" t="s">
        <v>2</v>
      </c>
      <c r="BH38" s="41" t="s">
        <v>76</v>
      </c>
      <c r="BI38" s="43" t="s">
        <v>76</v>
      </c>
      <c r="BJ38" s="11" t="s">
        <v>76</v>
      </c>
      <c r="BK38" s="34" t="s">
        <v>70</v>
      </c>
      <c r="BL38" s="43" t="s">
        <v>102</v>
      </c>
      <c r="BM38" s="43" t="s">
        <v>76</v>
      </c>
      <c r="BN38" s="43">
        <v>100</v>
      </c>
      <c r="BO38" s="11" t="s">
        <v>177</v>
      </c>
      <c r="BP38" s="41">
        <v>0</v>
      </c>
      <c r="BQ38" s="41">
        <v>0</v>
      </c>
      <c r="BR38" s="41">
        <v>0</v>
      </c>
      <c r="BS38" s="41">
        <v>0</v>
      </c>
      <c r="BT38" s="41">
        <v>0</v>
      </c>
      <c r="BU38" s="41">
        <v>0</v>
      </c>
      <c r="BV38" s="41">
        <v>1</v>
      </c>
      <c r="BW38" s="43" t="s">
        <v>217</v>
      </c>
      <c r="BX38" s="43" t="s">
        <v>76</v>
      </c>
      <c r="BY38" s="11" t="s">
        <v>76</v>
      </c>
    </row>
    <row r="39" spans="1:77" x14ac:dyDescent="0.3">
      <c r="A39" s="4" t="s">
        <v>64</v>
      </c>
      <c r="B39" s="5" t="s">
        <v>174</v>
      </c>
      <c r="C39" s="39">
        <v>1</v>
      </c>
      <c r="D39" s="40">
        <v>55</v>
      </c>
      <c r="E39" s="12" t="s">
        <v>76</v>
      </c>
      <c r="F39" s="40">
        <v>0.9</v>
      </c>
      <c r="G39" s="12" t="s">
        <v>76</v>
      </c>
      <c r="H39" s="34" t="s">
        <v>2</v>
      </c>
      <c r="I39" s="11" t="s">
        <v>76</v>
      </c>
      <c r="J39" s="34" t="s">
        <v>249</v>
      </c>
      <c r="K39" s="11" t="s">
        <v>76</v>
      </c>
      <c r="L39" s="10">
        <v>0</v>
      </c>
      <c r="M39" s="41">
        <v>0</v>
      </c>
      <c r="N39" s="41">
        <v>0</v>
      </c>
      <c r="O39" s="41">
        <v>1</v>
      </c>
      <c r="P39" s="41">
        <v>0</v>
      </c>
      <c r="Q39" s="41">
        <v>0</v>
      </c>
      <c r="R39" s="41">
        <v>0</v>
      </c>
      <c r="S39" s="41">
        <v>0</v>
      </c>
      <c r="T39" s="41" t="s">
        <v>76</v>
      </c>
      <c r="U39" s="12" t="s">
        <v>274</v>
      </c>
      <c r="V39" s="10" t="s">
        <v>76</v>
      </c>
      <c r="W39" s="41" t="s">
        <v>76</v>
      </c>
      <c r="X39" s="41" t="s">
        <v>76</v>
      </c>
      <c r="Y39" s="41" t="s">
        <v>76</v>
      </c>
      <c r="Z39" s="41" t="s">
        <v>76</v>
      </c>
      <c r="AA39" s="41" t="s">
        <v>76</v>
      </c>
      <c r="AB39" s="10" t="s">
        <v>2</v>
      </c>
      <c r="AC39" s="42" t="s">
        <v>76</v>
      </c>
      <c r="AD39" s="34" t="s">
        <v>2</v>
      </c>
      <c r="AE39" s="43" t="s">
        <v>76</v>
      </c>
      <c r="AF39" s="43" t="s">
        <v>76</v>
      </c>
      <c r="AG39" s="43" t="s">
        <v>76</v>
      </c>
      <c r="AH39" s="43" t="s">
        <v>76</v>
      </c>
      <c r="AI39" s="11" t="s">
        <v>76</v>
      </c>
      <c r="AJ39" s="34" t="s">
        <v>2</v>
      </c>
      <c r="AK39" s="43" t="s">
        <v>76</v>
      </c>
      <c r="AL39" s="34" t="s">
        <v>76</v>
      </c>
      <c r="AM39" s="43" t="s">
        <v>76</v>
      </c>
      <c r="AN39" s="43" t="s">
        <v>76</v>
      </c>
      <c r="AO39" s="43" t="s">
        <v>76</v>
      </c>
      <c r="AP39" s="43" t="s">
        <v>76</v>
      </c>
      <c r="AQ39" s="43" t="s">
        <v>76</v>
      </c>
      <c r="AR39" s="11" t="s">
        <v>76</v>
      </c>
      <c r="AS39" s="34" t="s">
        <v>2</v>
      </c>
      <c r="AT39" s="11" t="s">
        <v>76</v>
      </c>
      <c r="AU39" s="34" t="s">
        <v>2</v>
      </c>
      <c r="AV39" s="43" t="s">
        <v>76</v>
      </c>
      <c r="AW39" s="11" t="s">
        <v>76</v>
      </c>
      <c r="AX39" s="34" t="s">
        <v>2</v>
      </c>
      <c r="AY39" s="43" t="s">
        <v>76</v>
      </c>
      <c r="AZ39" s="10" t="s">
        <v>76</v>
      </c>
      <c r="BA39" s="41" t="s">
        <v>76</v>
      </c>
      <c r="BB39" s="41" t="s">
        <v>76</v>
      </c>
      <c r="BC39" s="41" t="s">
        <v>76</v>
      </c>
      <c r="BD39" s="11" t="s">
        <v>76</v>
      </c>
      <c r="BE39" s="34" t="s">
        <v>70</v>
      </c>
      <c r="BF39" s="43" t="s">
        <v>76</v>
      </c>
      <c r="BG39" s="34" t="s">
        <v>2</v>
      </c>
      <c r="BH39" s="41" t="s">
        <v>76</v>
      </c>
      <c r="BI39" s="43" t="s">
        <v>76</v>
      </c>
      <c r="BJ39" s="11" t="s">
        <v>76</v>
      </c>
      <c r="BK39" s="34" t="s">
        <v>70</v>
      </c>
      <c r="BL39" s="43" t="s">
        <v>102</v>
      </c>
      <c r="BM39" s="43" t="s">
        <v>76</v>
      </c>
      <c r="BN39" s="43">
        <v>10</v>
      </c>
      <c r="BO39" s="11" t="s">
        <v>223</v>
      </c>
      <c r="BP39" s="41">
        <v>1</v>
      </c>
      <c r="BQ39" s="41">
        <v>0</v>
      </c>
      <c r="BR39" s="41">
        <v>0</v>
      </c>
      <c r="BS39" s="41">
        <v>0</v>
      </c>
      <c r="BT39" s="41">
        <v>0</v>
      </c>
      <c r="BU39" s="41">
        <v>0</v>
      </c>
      <c r="BV39" s="41">
        <v>0</v>
      </c>
      <c r="BW39" s="43" t="s">
        <v>76</v>
      </c>
      <c r="BX39" s="43" t="s">
        <v>76</v>
      </c>
      <c r="BY39" s="11" t="s">
        <v>76</v>
      </c>
    </row>
    <row r="40" spans="1:77" x14ac:dyDescent="0.3">
      <c r="A40" s="4" t="s">
        <v>65</v>
      </c>
      <c r="B40" s="5" t="s">
        <v>175</v>
      </c>
      <c r="C40" s="39">
        <v>1</v>
      </c>
      <c r="D40" s="40">
        <v>38.5</v>
      </c>
      <c r="E40" s="12" t="s">
        <v>96</v>
      </c>
      <c r="F40" s="40">
        <v>0.7</v>
      </c>
      <c r="G40" s="12" t="s">
        <v>76</v>
      </c>
      <c r="H40" s="34" t="s">
        <v>2</v>
      </c>
      <c r="I40" s="11" t="s">
        <v>76</v>
      </c>
      <c r="J40" s="34" t="s">
        <v>248</v>
      </c>
      <c r="K40" s="11" t="s">
        <v>76</v>
      </c>
      <c r="L40" s="10">
        <v>1</v>
      </c>
      <c r="M40" s="41">
        <v>0</v>
      </c>
      <c r="N40" s="41">
        <v>0</v>
      </c>
      <c r="O40" s="41">
        <v>0</v>
      </c>
      <c r="P40" s="41">
        <v>0</v>
      </c>
      <c r="Q40" s="41">
        <v>0</v>
      </c>
      <c r="R40" s="41">
        <v>0</v>
      </c>
      <c r="S40" s="41">
        <v>0</v>
      </c>
      <c r="T40" s="41" t="s">
        <v>76</v>
      </c>
      <c r="U40" s="12" t="s">
        <v>6</v>
      </c>
      <c r="V40" s="10">
        <v>0</v>
      </c>
      <c r="W40" s="41">
        <v>1</v>
      </c>
      <c r="X40" s="41">
        <v>0</v>
      </c>
      <c r="Y40" s="41">
        <v>0</v>
      </c>
      <c r="Z40" s="41">
        <v>0</v>
      </c>
      <c r="AA40" s="41" t="s">
        <v>76</v>
      </c>
      <c r="AB40" s="10" t="s">
        <v>2</v>
      </c>
      <c r="AC40" s="42" t="s">
        <v>76</v>
      </c>
      <c r="AD40" s="34" t="s">
        <v>2</v>
      </c>
      <c r="AE40" s="43" t="s">
        <v>76</v>
      </c>
      <c r="AF40" s="43" t="s">
        <v>76</v>
      </c>
      <c r="AG40" s="43" t="s">
        <v>76</v>
      </c>
      <c r="AH40" s="43" t="s">
        <v>76</v>
      </c>
      <c r="AI40" s="11" t="s">
        <v>76</v>
      </c>
      <c r="AJ40" s="34" t="s">
        <v>2</v>
      </c>
      <c r="AK40" s="43" t="s">
        <v>76</v>
      </c>
      <c r="AL40" s="34" t="s">
        <v>76</v>
      </c>
      <c r="AM40" s="43" t="s">
        <v>76</v>
      </c>
      <c r="AN40" s="43" t="s">
        <v>76</v>
      </c>
      <c r="AO40" s="43" t="s">
        <v>76</v>
      </c>
      <c r="AP40" s="43" t="s">
        <v>76</v>
      </c>
      <c r="AQ40" s="43" t="s">
        <v>76</v>
      </c>
      <c r="AR40" s="11" t="s">
        <v>76</v>
      </c>
      <c r="AS40" s="34" t="s">
        <v>2</v>
      </c>
      <c r="AT40" s="11" t="s">
        <v>76</v>
      </c>
      <c r="AU40" s="34" t="s">
        <v>2</v>
      </c>
      <c r="AV40" s="43" t="s">
        <v>76</v>
      </c>
      <c r="AW40" s="11" t="s">
        <v>76</v>
      </c>
      <c r="AX40" s="34" t="s">
        <v>2</v>
      </c>
      <c r="AY40" s="43" t="s">
        <v>76</v>
      </c>
      <c r="AZ40" s="10" t="s">
        <v>76</v>
      </c>
      <c r="BA40" s="41" t="s">
        <v>76</v>
      </c>
      <c r="BB40" s="41" t="s">
        <v>76</v>
      </c>
      <c r="BC40" s="41" t="s">
        <v>76</v>
      </c>
      <c r="BD40" s="11" t="s">
        <v>76</v>
      </c>
      <c r="BE40" s="34" t="s">
        <v>2</v>
      </c>
      <c r="BF40" s="43" t="s">
        <v>76</v>
      </c>
      <c r="BG40" s="34" t="s">
        <v>2</v>
      </c>
      <c r="BH40" s="41" t="s">
        <v>76</v>
      </c>
      <c r="BI40" s="43" t="s">
        <v>76</v>
      </c>
      <c r="BJ40" s="11" t="s">
        <v>76</v>
      </c>
      <c r="BK40" s="34" t="s">
        <v>70</v>
      </c>
      <c r="BL40" s="43" t="s">
        <v>102</v>
      </c>
      <c r="BM40" s="43" t="s">
        <v>76</v>
      </c>
      <c r="BN40" s="43">
        <v>50</v>
      </c>
      <c r="BO40" s="11" t="s">
        <v>76</v>
      </c>
      <c r="BP40" s="41">
        <v>1</v>
      </c>
      <c r="BQ40" s="41">
        <v>0</v>
      </c>
      <c r="BR40" s="41">
        <v>0</v>
      </c>
      <c r="BS40" s="41">
        <v>0</v>
      </c>
      <c r="BT40" s="41">
        <v>0</v>
      </c>
      <c r="BU40" s="41">
        <v>0</v>
      </c>
      <c r="BV40" s="41">
        <v>0</v>
      </c>
      <c r="BW40" s="43" t="s">
        <v>76</v>
      </c>
      <c r="BX40" s="43" t="s">
        <v>76</v>
      </c>
      <c r="BY40" s="11" t="s">
        <v>76</v>
      </c>
    </row>
    <row r="41" spans="1:77" x14ac:dyDescent="0.3">
      <c r="A41" s="4" t="s">
        <v>67</v>
      </c>
      <c r="B41" s="5" t="s">
        <v>149</v>
      </c>
      <c r="C41" s="39">
        <v>1</v>
      </c>
      <c r="D41" s="40">
        <v>15</v>
      </c>
      <c r="E41" s="12" t="s">
        <v>76</v>
      </c>
      <c r="F41" s="40" t="s">
        <v>76</v>
      </c>
      <c r="G41" s="12" t="s">
        <v>76</v>
      </c>
      <c r="H41" s="34" t="s">
        <v>2</v>
      </c>
      <c r="I41" s="11" t="s">
        <v>76</v>
      </c>
      <c r="J41" s="34" t="s">
        <v>248</v>
      </c>
      <c r="K41" s="11" t="s">
        <v>76</v>
      </c>
      <c r="L41" s="10">
        <v>1</v>
      </c>
      <c r="M41" s="41">
        <v>0</v>
      </c>
      <c r="N41" s="41">
        <v>0</v>
      </c>
      <c r="O41" s="41">
        <v>1</v>
      </c>
      <c r="P41" s="41">
        <v>0</v>
      </c>
      <c r="Q41" s="41">
        <v>0</v>
      </c>
      <c r="R41" s="41">
        <v>0</v>
      </c>
      <c r="S41" s="41">
        <v>0</v>
      </c>
      <c r="T41" s="41" t="s">
        <v>76</v>
      </c>
      <c r="U41" s="12" t="s">
        <v>76</v>
      </c>
      <c r="V41" s="10" t="s">
        <v>76</v>
      </c>
      <c r="W41" s="41" t="s">
        <v>76</v>
      </c>
      <c r="X41" s="41" t="s">
        <v>76</v>
      </c>
      <c r="Y41" s="41" t="s">
        <v>76</v>
      </c>
      <c r="Z41" s="41" t="s">
        <v>76</v>
      </c>
      <c r="AA41" s="41" t="s">
        <v>76</v>
      </c>
      <c r="AB41" s="10" t="s">
        <v>2</v>
      </c>
      <c r="AC41" s="42" t="s">
        <v>76</v>
      </c>
      <c r="AD41" s="34" t="s">
        <v>2</v>
      </c>
      <c r="AE41" s="43" t="s">
        <v>76</v>
      </c>
      <c r="AF41" s="43" t="s">
        <v>76</v>
      </c>
      <c r="AG41" s="43" t="s">
        <v>76</v>
      </c>
      <c r="AH41" s="43" t="s">
        <v>76</v>
      </c>
      <c r="AI41" s="11" t="s">
        <v>76</v>
      </c>
      <c r="AJ41" s="34" t="s">
        <v>2</v>
      </c>
      <c r="AK41" s="43" t="s">
        <v>76</v>
      </c>
      <c r="AL41" s="34" t="s">
        <v>76</v>
      </c>
      <c r="AM41" s="43" t="s">
        <v>76</v>
      </c>
      <c r="AN41" s="43" t="s">
        <v>76</v>
      </c>
      <c r="AO41" s="43" t="s">
        <v>76</v>
      </c>
      <c r="AP41" s="43" t="s">
        <v>76</v>
      </c>
      <c r="AQ41" s="43" t="s">
        <v>76</v>
      </c>
      <c r="AR41" s="11" t="s">
        <v>76</v>
      </c>
      <c r="AS41" s="34" t="s">
        <v>2</v>
      </c>
      <c r="AT41" s="11" t="s">
        <v>76</v>
      </c>
      <c r="AU41" s="34" t="s">
        <v>2</v>
      </c>
      <c r="AV41" s="43" t="s">
        <v>76</v>
      </c>
      <c r="AW41" s="11" t="s">
        <v>76</v>
      </c>
      <c r="AX41" s="34" t="s">
        <v>2</v>
      </c>
      <c r="AY41" s="43" t="s">
        <v>76</v>
      </c>
      <c r="AZ41" s="10">
        <v>0</v>
      </c>
      <c r="BA41" s="41">
        <v>1</v>
      </c>
      <c r="BB41" s="41" t="s">
        <v>76</v>
      </c>
      <c r="BC41" s="41">
        <v>1</v>
      </c>
      <c r="BD41" s="11" t="s">
        <v>290</v>
      </c>
      <c r="BE41" s="34" t="s">
        <v>2</v>
      </c>
      <c r="BF41" s="43" t="s">
        <v>76</v>
      </c>
      <c r="BG41" s="34" t="s">
        <v>2</v>
      </c>
      <c r="BH41" s="41" t="s">
        <v>76</v>
      </c>
      <c r="BI41" s="43" t="s">
        <v>76</v>
      </c>
      <c r="BJ41" s="11" t="s">
        <v>76</v>
      </c>
      <c r="BK41" s="34" t="s">
        <v>70</v>
      </c>
      <c r="BL41" s="43" t="s">
        <v>102</v>
      </c>
      <c r="BM41" s="43" t="s">
        <v>76</v>
      </c>
      <c r="BN41" s="43">
        <v>50</v>
      </c>
      <c r="BO41" s="11" t="s">
        <v>307</v>
      </c>
      <c r="BP41" s="41">
        <v>0</v>
      </c>
      <c r="BQ41" s="41">
        <v>0</v>
      </c>
      <c r="BR41" s="41">
        <v>0</v>
      </c>
      <c r="BS41" s="41">
        <v>0</v>
      </c>
      <c r="BT41" s="41">
        <v>0</v>
      </c>
      <c r="BU41" s="41">
        <v>0</v>
      </c>
      <c r="BV41" s="41">
        <v>1</v>
      </c>
      <c r="BW41" s="43" t="s">
        <v>217</v>
      </c>
      <c r="BX41" s="43" t="s">
        <v>76</v>
      </c>
      <c r="BY41" s="11" t="s">
        <v>76</v>
      </c>
    </row>
    <row r="42" spans="1:77" x14ac:dyDescent="0.3">
      <c r="A42" s="4" t="s">
        <v>68</v>
      </c>
      <c r="B42" s="5" t="s">
        <v>150</v>
      </c>
      <c r="C42" s="39">
        <v>1</v>
      </c>
      <c r="D42" s="40">
        <v>40</v>
      </c>
      <c r="E42" s="12" t="s">
        <v>76</v>
      </c>
      <c r="F42" s="40">
        <v>2.2999999999999998</v>
      </c>
      <c r="G42" s="12" t="s">
        <v>195</v>
      </c>
      <c r="H42" s="34" t="s">
        <v>70</v>
      </c>
      <c r="I42" s="11" t="s">
        <v>76</v>
      </c>
      <c r="J42" s="34" t="s">
        <v>248</v>
      </c>
      <c r="K42" s="11" t="s">
        <v>76</v>
      </c>
      <c r="L42" s="10">
        <v>1</v>
      </c>
      <c r="M42" s="41">
        <v>1</v>
      </c>
      <c r="N42" s="41">
        <v>0</v>
      </c>
      <c r="O42" s="41">
        <v>0</v>
      </c>
      <c r="P42" s="41">
        <v>0</v>
      </c>
      <c r="Q42" s="41">
        <v>0</v>
      </c>
      <c r="R42" s="41">
        <v>0</v>
      </c>
      <c r="S42" s="41">
        <v>0</v>
      </c>
      <c r="T42" s="41" t="s">
        <v>76</v>
      </c>
      <c r="U42" s="12" t="s">
        <v>76</v>
      </c>
      <c r="V42" s="10">
        <v>0</v>
      </c>
      <c r="W42" s="41">
        <v>1</v>
      </c>
      <c r="X42" s="41">
        <v>0</v>
      </c>
      <c r="Y42" s="41">
        <v>0</v>
      </c>
      <c r="Z42" s="41">
        <v>0</v>
      </c>
      <c r="AA42" s="41" t="s">
        <v>76</v>
      </c>
      <c r="AB42" s="10" t="s">
        <v>2</v>
      </c>
      <c r="AC42" s="42" t="s">
        <v>76</v>
      </c>
      <c r="AD42" s="34" t="s">
        <v>70</v>
      </c>
      <c r="AE42" s="41">
        <v>1</v>
      </c>
      <c r="AF42" s="43" t="s">
        <v>76</v>
      </c>
      <c r="AG42" s="43" t="s">
        <v>76</v>
      </c>
      <c r="AH42" s="43" t="s">
        <v>76</v>
      </c>
      <c r="AI42" s="11" t="s">
        <v>76</v>
      </c>
      <c r="AJ42" s="34" t="s">
        <v>2</v>
      </c>
      <c r="AK42" s="43" t="s">
        <v>76</v>
      </c>
      <c r="AL42" s="34">
        <v>0</v>
      </c>
      <c r="AM42" s="43">
        <v>1</v>
      </c>
      <c r="AN42" s="43">
        <v>0</v>
      </c>
      <c r="AO42" s="43">
        <v>0</v>
      </c>
      <c r="AP42" s="43">
        <v>0</v>
      </c>
      <c r="AQ42" s="43" t="s">
        <v>76</v>
      </c>
      <c r="AR42" s="11" t="s">
        <v>76</v>
      </c>
      <c r="AS42" s="34" t="s">
        <v>70</v>
      </c>
      <c r="AT42" s="11" t="s">
        <v>76</v>
      </c>
      <c r="AU42" s="34" t="s">
        <v>2</v>
      </c>
      <c r="AV42" s="43" t="s">
        <v>76</v>
      </c>
      <c r="AW42" s="11" t="s">
        <v>76</v>
      </c>
      <c r="AX42" s="34" t="s">
        <v>2</v>
      </c>
      <c r="AY42" s="43" t="s">
        <v>76</v>
      </c>
      <c r="AZ42" s="10" t="s">
        <v>76</v>
      </c>
      <c r="BA42" s="41" t="s">
        <v>76</v>
      </c>
      <c r="BB42" s="41" t="s">
        <v>76</v>
      </c>
      <c r="BC42" s="41" t="s">
        <v>76</v>
      </c>
      <c r="BD42" s="11" t="s">
        <v>76</v>
      </c>
      <c r="BE42" s="34" t="s">
        <v>76</v>
      </c>
      <c r="BF42" s="43" t="s">
        <v>76</v>
      </c>
      <c r="BG42" s="34" t="s">
        <v>2</v>
      </c>
      <c r="BH42" s="41" t="s">
        <v>76</v>
      </c>
      <c r="BI42" s="43" t="s">
        <v>76</v>
      </c>
      <c r="BJ42" s="11" t="s">
        <v>76</v>
      </c>
      <c r="BK42" s="34" t="s">
        <v>70</v>
      </c>
      <c r="BL42" s="43" t="s">
        <v>224</v>
      </c>
      <c r="BM42" s="43" t="s">
        <v>76</v>
      </c>
      <c r="BN42" s="43" t="s">
        <v>76</v>
      </c>
      <c r="BO42" s="11" t="s">
        <v>76</v>
      </c>
      <c r="BP42" s="41">
        <v>0</v>
      </c>
      <c r="BQ42" s="41">
        <v>1</v>
      </c>
      <c r="BR42" s="41">
        <v>0</v>
      </c>
      <c r="BS42" s="41">
        <v>0</v>
      </c>
      <c r="BT42" s="41">
        <v>0</v>
      </c>
      <c r="BU42" s="41">
        <v>0</v>
      </c>
      <c r="BV42" s="41">
        <v>0</v>
      </c>
      <c r="BW42" s="43" t="s">
        <v>76</v>
      </c>
      <c r="BX42" s="43" t="s">
        <v>76</v>
      </c>
      <c r="BY42" s="11" t="s">
        <v>216</v>
      </c>
    </row>
    <row r="43" spans="1:77" x14ac:dyDescent="0.3">
      <c r="A43" s="4" t="s">
        <v>68</v>
      </c>
      <c r="B43" s="5" t="s">
        <v>150</v>
      </c>
      <c r="C43" s="39">
        <v>2</v>
      </c>
      <c r="D43" s="40">
        <v>40</v>
      </c>
      <c r="E43" s="12" t="s">
        <v>76</v>
      </c>
      <c r="F43" s="40">
        <v>0.28000000000000003</v>
      </c>
      <c r="G43" s="12" t="s">
        <v>76</v>
      </c>
      <c r="H43" s="34" t="s">
        <v>76</v>
      </c>
      <c r="I43" s="11" t="s">
        <v>76</v>
      </c>
      <c r="J43" s="34" t="s">
        <v>248</v>
      </c>
      <c r="K43" s="11" t="s">
        <v>76</v>
      </c>
      <c r="L43" s="10">
        <v>1</v>
      </c>
      <c r="M43" s="41">
        <v>0</v>
      </c>
      <c r="N43" s="41">
        <v>0</v>
      </c>
      <c r="O43" s="41">
        <v>0</v>
      </c>
      <c r="P43" s="41">
        <v>0</v>
      </c>
      <c r="Q43" s="41">
        <v>0</v>
      </c>
      <c r="R43" s="41">
        <v>0</v>
      </c>
      <c r="S43" s="41">
        <v>0</v>
      </c>
      <c r="T43" s="41" t="s">
        <v>76</v>
      </c>
      <c r="U43" s="12" t="s">
        <v>76</v>
      </c>
      <c r="V43" s="10">
        <v>0</v>
      </c>
      <c r="W43" s="41">
        <v>1</v>
      </c>
      <c r="X43" s="41">
        <v>0</v>
      </c>
      <c r="Y43" s="41">
        <v>0</v>
      </c>
      <c r="Z43" s="41">
        <v>0</v>
      </c>
      <c r="AA43" s="41" t="s">
        <v>76</v>
      </c>
      <c r="AB43" s="10" t="s">
        <v>2</v>
      </c>
      <c r="AC43" s="42" t="s">
        <v>76</v>
      </c>
      <c r="AD43" s="34" t="s">
        <v>2</v>
      </c>
      <c r="AE43" s="41" t="s">
        <v>76</v>
      </c>
      <c r="AF43" s="43" t="s">
        <v>76</v>
      </c>
      <c r="AG43" s="43" t="s">
        <v>76</v>
      </c>
      <c r="AH43" s="43" t="s">
        <v>76</v>
      </c>
      <c r="AI43" s="11" t="s">
        <v>76</v>
      </c>
      <c r="AJ43" s="34" t="s">
        <v>2</v>
      </c>
      <c r="AK43" s="43" t="s">
        <v>76</v>
      </c>
      <c r="AL43" s="34" t="s">
        <v>76</v>
      </c>
      <c r="AM43" s="43" t="s">
        <v>76</v>
      </c>
      <c r="AN43" s="43" t="s">
        <v>76</v>
      </c>
      <c r="AO43" s="43" t="s">
        <v>76</v>
      </c>
      <c r="AP43" s="43" t="s">
        <v>76</v>
      </c>
      <c r="AQ43" s="43" t="s">
        <v>76</v>
      </c>
      <c r="AR43" s="11" t="s">
        <v>76</v>
      </c>
      <c r="AS43" s="34" t="s">
        <v>2</v>
      </c>
      <c r="AT43" s="11" t="s">
        <v>76</v>
      </c>
      <c r="AU43" s="34" t="s">
        <v>2</v>
      </c>
      <c r="AV43" s="43" t="s">
        <v>76</v>
      </c>
      <c r="AW43" s="11" t="s">
        <v>76</v>
      </c>
      <c r="AX43" s="34" t="s">
        <v>2</v>
      </c>
      <c r="AY43" s="43" t="s">
        <v>76</v>
      </c>
      <c r="AZ43" s="10">
        <v>1</v>
      </c>
      <c r="BA43" s="41">
        <v>0</v>
      </c>
      <c r="BB43" s="41">
        <v>1</v>
      </c>
      <c r="BC43" s="41" t="s">
        <v>76</v>
      </c>
      <c r="BD43" s="11" t="s">
        <v>264</v>
      </c>
      <c r="BE43" s="34" t="s">
        <v>70</v>
      </c>
      <c r="BF43" s="43" t="s">
        <v>76</v>
      </c>
      <c r="BG43" s="34" t="s">
        <v>2</v>
      </c>
      <c r="BH43" s="41" t="s">
        <v>76</v>
      </c>
      <c r="BI43" s="43" t="s">
        <v>76</v>
      </c>
      <c r="BJ43" s="11" t="s">
        <v>76</v>
      </c>
      <c r="BK43" s="34" t="s">
        <v>70</v>
      </c>
      <c r="BL43" s="43" t="s">
        <v>224</v>
      </c>
      <c r="BM43" s="43" t="s">
        <v>76</v>
      </c>
      <c r="BN43" s="43" t="s">
        <v>76</v>
      </c>
      <c r="BO43" s="11" t="s">
        <v>76</v>
      </c>
      <c r="BP43" s="41">
        <v>1</v>
      </c>
      <c r="BQ43" s="41">
        <v>0</v>
      </c>
      <c r="BR43" s="41">
        <v>0</v>
      </c>
      <c r="BS43" s="41">
        <v>0</v>
      </c>
      <c r="BT43" s="41">
        <v>0</v>
      </c>
      <c r="BU43" s="41">
        <v>0</v>
      </c>
      <c r="BV43" s="41">
        <v>0</v>
      </c>
      <c r="BW43" s="43" t="s">
        <v>76</v>
      </c>
      <c r="BX43" s="43" t="s">
        <v>76</v>
      </c>
      <c r="BY43" s="11" t="s">
        <v>76</v>
      </c>
    </row>
    <row r="44" spans="1:77" x14ac:dyDescent="0.3">
      <c r="A44" s="6" t="s">
        <v>69</v>
      </c>
      <c r="B44" s="46" t="s">
        <v>151</v>
      </c>
      <c r="C44" s="47">
        <v>1</v>
      </c>
      <c r="D44" s="48">
        <v>140</v>
      </c>
      <c r="E44" s="49" t="s">
        <v>76</v>
      </c>
      <c r="F44" s="48">
        <v>0.83</v>
      </c>
      <c r="G44" s="49" t="s">
        <v>76</v>
      </c>
      <c r="H44" s="50" t="s">
        <v>2</v>
      </c>
      <c r="I44" s="51" t="s">
        <v>76</v>
      </c>
      <c r="J44" s="50" t="s">
        <v>248</v>
      </c>
      <c r="K44" s="51" t="s">
        <v>76</v>
      </c>
      <c r="L44" s="52">
        <v>1</v>
      </c>
      <c r="M44" s="53">
        <v>0</v>
      </c>
      <c r="N44" s="53">
        <v>0</v>
      </c>
      <c r="O44" s="53">
        <v>0</v>
      </c>
      <c r="P44" s="53">
        <v>0</v>
      </c>
      <c r="Q44" s="53">
        <v>0</v>
      </c>
      <c r="R44" s="53">
        <v>0</v>
      </c>
      <c r="S44" s="53">
        <v>0</v>
      </c>
      <c r="T44" s="53" t="s">
        <v>76</v>
      </c>
      <c r="U44" s="49" t="s">
        <v>76</v>
      </c>
      <c r="V44" s="52">
        <v>0</v>
      </c>
      <c r="W44" s="53">
        <v>1</v>
      </c>
      <c r="X44" s="53">
        <v>0</v>
      </c>
      <c r="Y44" s="53">
        <v>0</v>
      </c>
      <c r="Z44" s="53">
        <v>0</v>
      </c>
      <c r="AA44" s="53" t="s">
        <v>76</v>
      </c>
      <c r="AB44" s="52" t="s">
        <v>70</v>
      </c>
      <c r="AC44" s="54" t="s">
        <v>76</v>
      </c>
      <c r="AD44" s="50" t="s">
        <v>2</v>
      </c>
      <c r="AE44" s="53" t="s">
        <v>76</v>
      </c>
      <c r="AF44" s="55" t="s">
        <v>76</v>
      </c>
      <c r="AG44" s="55" t="s">
        <v>76</v>
      </c>
      <c r="AH44" s="55" t="s">
        <v>76</v>
      </c>
      <c r="AI44" s="51" t="s">
        <v>76</v>
      </c>
      <c r="AJ44" s="50" t="s">
        <v>2</v>
      </c>
      <c r="AK44" s="55" t="s">
        <v>76</v>
      </c>
      <c r="AL44" s="50">
        <v>0</v>
      </c>
      <c r="AM44" s="55">
        <v>1</v>
      </c>
      <c r="AN44" s="55">
        <v>0</v>
      </c>
      <c r="AO44" s="55">
        <v>0</v>
      </c>
      <c r="AP44" s="55">
        <v>0</v>
      </c>
      <c r="AQ44" s="55" t="s">
        <v>76</v>
      </c>
      <c r="AR44" s="51" t="s">
        <v>207</v>
      </c>
      <c r="AS44" s="50" t="s">
        <v>70</v>
      </c>
      <c r="AT44" s="51" t="s">
        <v>281</v>
      </c>
      <c r="AU44" s="50" t="s">
        <v>70</v>
      </c>
      <c r="AV44" s="55" t="s">
        <v>212</v>
      </c>
      <c r="AW44" s="51" t="s">
        <v>76</v>
      </c>
      <c r="AX44" s="50" t="s">
        <v>2</v>
      </c>
      <c r="AY44" s="55" t="s">
        <v>76</v>
      </c>
      <c r="AZ44" s="52" t="s">
        <v>76</v>
      </c>
      <c r="BA44" s="53" t="s">
        <v>76</v>
      </c>
      <c r="BB44" s="53" t="s">
        <v>76</v>
      </c>
      <c r="BC44" s="53" t="s">
        <v>76</v>
      </c>
      <c r="BD44" s="51" t="s">
        <v>76</v>
      </c>
      <c r="BE44" s="50" t="s">
        <v>2</v>
      </c>
      <c r="BF44" s="55" t="s">
        <v>76</v>
      </c>
      <c r="BG44" s="50" t="s">
        <v>2</v>
      </c>
      <c r="BH44" s="53" t="s">
        <v>76</v>
      </c>
      <c r="BI44" s="55" t="s">
        <v>76</v>
      </c>
      <c r="BJ44" s="51" t="s">
        <v>76</v>
      </c>
      <c r="BK44" s="50" t="s">
        <v>70</v>
      </c>
      <c r="BL44" s="55" t="s">
        <v>102</v>
      </c>
      <c r="BM44" s="55" t="s">
        <v>76</v>
      </c>
      <c r="BN44" s="55">
        <v>28</v>
      </c>
      <c r="BO44" s="51" t="s">
        <v>76</v>
      </c>
      <c r="BP44" s="53">
        <v>1</v>
      </c>
      <c r="BQ44" s="53">
        <v>0</v>
      </c>
      <c r="BR44" s="53">
        <v>0</v>
      </c>
      <c r="BS44" s="53">
        <v>0</v>
      </c>
      <c r="BT44" s="53">
        <v>0</v>
      </c>
      <c r="BU44" s="53">
        <v>0</v>
      </c>
      <c r="BV44" s="53">
        <v>0</v>
      </c>
      <c r="BW44" s="55" t="s">
        <v>76</v>
      </c>
      <c r="BX44" s="55" t="s">
        <v>76</v>
      </c>
      <c r="BY44" s="51" t="s">
        <v>76</v>
      </c>
    </row>
    <row r="45" spans="1:77" x14ac:dyDescent="0.3">
      <c r="B45" s="5"/>
    </row>
    <row r="46" spans="1:77" x14ac:dyDescent="0.3">
      <c r="B46" s="5"/>
    </row>
    <row r="47" spans="1:77" x14ac:dyDescent="0.3">
      <c r="B47" s="5"/>
    </row>
    <row r="48" spans="1:77" x14ac:dyDescent="0.3">
      <c r="B48" s="5"/>
    </row>
    <row r="49" spans="2:2" x14ac:dyDescent="0.3">
      <c r="B49" s="5"/>
    </row>
    <row r="50" spans="2:2" x14ac:dyDescent="0.3">
      <c r="B50" s="5"/>
    </row>
    <row r="51" spans="2:2" x14ac:dyDescent="0.3">
      <c r="B51" s="5"/>
    </row>
    <row r="52" spans="2:2" x14ac:dyDescent="0.3">
      <c r="B52" s="5"/>
    </row>
    <row r="53" spans="2:2" x14ac:dyDescent="0.3">
      <c r="B53" s="5"/>
    </row>
    <row r="54" spans="2:2" x14ac:dyDescent="0.3">
      <c r="B54" s="5"/>
    </row>
    <row r="55" spans="2:2" x14ac:dyDescent="0.3">
      <c r="B55" s="5"/>
    </row>
    <row r="56" spans="2:2" x14ac:dyDescent="0.3">
      <c r="B56" s="5"/>
    </row>
    <row r="57" spans="2:2" x14ac:dyDescent="0.3">
      <c r="B57" s="5"/>
    </row>
    <row r="58" spans="2:2" x14ac:dyDescent="0.3">
      <c r="B58" s="5"/>
    </row>
    <row r="59" spans="2:2" x14ac:dyDescent="0.3">
      <c r="B59" s="5"/>
    </row>
    <row r="60" spans="2:2" x14ac:dyDescent="0.3">
      <c r="B60" s="5"/>
    </row>
    <row r="61" spans="2:2" x14ac:dyDescent="0.3">
      <c r="B61" s="5"/>
    </row>
    <row r="62" spans="2:2" x14ac:dyDescent="0.3">
      <c r="B62" s="5"/>
    </row>
    <row r="63" spans="2:2" x14ac:dyDescent="0.3">
      <c r="B63" s="5"/>
    </row>
    <row r="64" spans="2:2" x14ac:dyDescent="0.3">
      <c r="B64" s="5"/>
    </row>
    <row r="65" spans="2:2" x14ac:dyDescent="0.3">
      <c r="B65" s="5"/>
    </row>
    <row r="66" spans="2:2" x14ac:dyDescent="0.3">
      <c r="B66" s="5"/>
    </row>
    <row r="67" spans="2:2" x14ac:dyDescent="0.3">
      <c r="B67" s="5"/>
    </row>
    <row r="68" spans="2:2" x14ac:dyDescent="0.3">
      <c r="B68" s="5"/>
    </row>
    <row r="69" spans="2:2" x14ac:dyDescent="0.3">
      <c r="B69" s="5"/>
    </row>
    <row r="70" spans="2:2" x14ac:dyDescent="0.3">
      <c r="B70" s="5"/>
    </row>
    <row r="71" spans="2:2" x14ac:dyDescent="0.3">
      <c r="B71" s="5"/>
    </row>
    <row r="72" spans="2:2" x14ac:dyDescent="0.3">
      <c r="B72" s="5"/>
    </row>
    <row r="73" spans="2:2" x14ac:dyDescent="0.3">
      <c r="B73" s="5"/>
    </row>
    <row r="74" spans="2:2" x14ac:dyDescent="0.3">
      <c r="B74" s="5"/>
    </row>
    <row r="75" spans="2:2" x14ac:dyDescent="0.3">
      <c r="B75" s="5"/>
    </row>
    <row r="76" spans="2:2" x14ac:dyDescent="0.3">
      <c r="B76" s="5"/>
    </row>
    <row r="77" spans="2:2" x14ac:dyDescent="0.3">
      <c r="B77" s="5"/>
    </row>
    <row r="78" spans="2:2" x14ac:dyDescent="0.3">
      <c r="B78" s="5"/>
    </row>
    <row r="79" spans="2:2" x14ac:dyDescent="0.3">
      <c r="B79" s="5"/>
    </row>
    <row r="80" spans="2:2" x14ac:dyDescent="0.3">
      <c r="B80" s="5"/>
    </row>
    <row r="81" spans="2:2" x14ac:dyDescent="0.3">
      <c r="B81" s="5"/>
    </row>
    <row r="82" spans="2:2" x14ac:dyDescent="0.3">
      <c r="B82" s="5"/>
    </row>
    <row r="83" spans="2:2" x14ac:dyDescent="0.3">
      <c r="B83" s="5"/>
    </row>
    <row r="84" spans="2:2" x14ac:dyDescent="0.3">
      <c r="B84" s="5"/>
    </row>
    <row r="85" spans="2:2" x14ac:dyDescent="0.3">
      <c r="B85" s="5"/>
    </row>
    <row r="86" spans="2:2" x14ac:dyDescent="0.3">
      <c r="B86" s="5"/>
    </row>
    <row r="87" spans="2:2" x14ac:dyDescent="0.3">
      <c r="B87" s="5"/>
    </row>
    <row r="88" spans="2:2" x14ac:dyDescent="0.3">
      <c r="B88" s="5"/>
    </row>
    <row r="89" spans="2:2" x14ac:dyDescent="0.3">
      <c r="B89" s="5"/>
    </row>
    <row r="90" spans="2:2" x14ac:dyDescent="0.3">
      <c r="B90" s="5"/>
    </row>
    <row r="91" spans="2:2" x14ac:dyDescent="0.3">
      <c r="B91" s="5"/>
    </row>
    <row r="92" spans="2:2" x14ac:dyDescent="0.3">
      <c r="B92" s="5"/>
    </row>
    <row r="93" spans="2:2" x14ac:dyDescent="0.3">
      <c r="B93" s="5"/>
    </row>
    <row r="94" spans="2:2" x14ac:dyDescent="0.3">
      <c r="B94" s="5"/>
    </row>
    <row r="95" spans="2:2" x14ac:dyDescent="0.3">
      <c r="B95" s="5"/>
    </row>
    <row r="96" spans="2:2" x14ac:dyDescent="0.3">
      <c r="B96" s="5"/>
    </row>
    <row r="97" spans="2:2" x14ac:dyDescent="0.3">
      <c r="B97" s="5"/>
    </row>
    <row r="98" spans="2:2" x14ac:dyDescent="0.3">
      <c r="B98" s="5"/>
    </row>
    <row r="99" spans="2:2" x14ac:dyDescent="0.3">
      <c r="B99" s="5"/>
    </row>
    <row r="100" spans="2:2" x14ac:dyDescent="0.3">
      <c r="B100" s="5"/>
    </row>
    <row r="101" spans="2:2" x14ac:dyDescent="0.3">
      <c r="B101" s="5"/>
    </row>
    <row r="102" spans="2:2" x14ac:dyDescent="0.3">
      <c r="B102" s="5"/>
    </row>
    <row r="103" spans="2:2" x14ac:dyDescent="0.3">
      <c r="B103" s="5"/>
    </row>
    <row r="104" spans="2:2" x14ac:dyDescent="0.3">
      <c r="B104" s="5"/>
    </row>
    <row r="105" spans="2:2" x14ac:dyDescent="0.3">
      <c r="B105" s="5"/>
    </row>
    <row r="106" spans="2:2" x14ac:dyDescent="0.3">
      <c r="B106" s="5"/>
    </row>
    <row r="107" spans="2:2" x14ac:dyDescent="0.3">
      <c r="B107" s="5"/>
    </row>
    <row r="108" spans="2:2" x14ac:dyDescent="0.3">
      <c r="B108" s="5"/>
    </row>
    <row r="109" spans="2:2" x14ac:dyDescent="0.3">
      <c r="B109" s="5"/>
    </row>
    <row r="110" spans="2:2" x14ac:dyDescent="0.3">
      <c r="B110" s="5"/>
    </row>
    <row r="111" spans="2:2" x14ac:dyDescent="0.3">
      <c r="B111" s="5"/>
    </row>
    <row r="112" spans="2:2" x14ac:dyDescent="0.3">
      <c r="B112" s="5"/>
    </row>
    <row r="113" spans="2:2" x14ac:dyDescent="0.3">
      <c r="B113" s="5"/>
    </row>
    <row r="114" spans="2:2" x14ac:dyDescent="0.3">
      <c r="B114" s="5"/>
    </row>
    <row r="115" spans="2:2" x14ac:dyDescent="0.3">
      <c r="B115" s="5"/>
    </row>
    <row r="116" spans="2:2" x14ac:dyDescent="0.3">
      <c r="B116" s="5"/>
    </row>
    <row r="117" spans="2:2" x14ac:dyDescent="0.3">
      <c r="B117" s="5"/>
    </row>
    <row r="118" spans="2:2" x14ac:dyDescent="0.3">
      <c r="B118" s="5"/>
    </row>
    <row r="119" spans="2:2" x14ac:dyDescent="0.3">
      <c r="B119" s="5"/>
    </row>
    <row r="120" spans="2:2" x14ac:dyDescent="0.3">
      <c r="B120" s="5"/>
    </row>
    <row r="121" spans="2:2" x14ac:dyDescent="0.3">
      <c r="B121" s="5"/>
    </row>
    <row r="122" spans="2:2" x14ac:dyDescent="0.3">
      <c r="B122" s="5"/>
    </row>
  </sheetData>
  <mergeCells count="20">
    <mergeCell ref="BG2:BJ2"/>
    <mergeCell ref="BK2:BO2"/>
    <mergeCell ref="BP2:BY2"/>
    <mergeCell ref="D1:BY1"/>
    <mergeCell ref="AS2:AT2"/>
    <mergeCell ref="AU2:AW2"/>
    <mergeCell ref="AX2:AY2"/>
    <mergeCell ref="AZ2:BD2"/>
    <mergeCell ref="BE2:BF2"/>
    <mergeCell ref="V2:AA2"/>
    <mergeCell ref="AB2:AC2"/>
    <mergeCell ref="AD2:AI2"/>
    <mergeCell ref="AJ2:AK2"/>
    <mergeCell ref="AL2:AR2"/>
    <mergeCell ref="F2:G2"/>
    <mergeCell ref="A1:C2"/>
    <mergeCell ref="H2:I2"/>
    <mergeCell ref="D2:E2"/>
    <mergeCell ref="J2:K2"/>
    <mergeCell ref="L2:U2"/>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2</vt:i4>
      </vt:variant>
    </vt:vector>
  </HeadingPairs>
  <TitlesOfParts>
    <vt:vector size="2" baseType="lpstr">
      <vt:lpstr>D_Building</vt:lpstr>
      <vt:lpstr>D_Floors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dc:creator>
  <cp:lastModifiedBy>Gaia Treglia</cp:lastModifiedBy>
  <dcterms:created xsi:type="dcterms:W3CDTF">2015-06-05T18:17:20Z</dcterms:created>
  <dcterms:modified xsi:type="dcterms:W3CDTF">2025-06-11T15:52:29Z</dcterms:modified>
</cp:coreProperties>
</file>